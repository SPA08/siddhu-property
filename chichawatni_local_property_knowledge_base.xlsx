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ists" sheetId="1" state="visible" r:id="rId1"/>
    <sheet name="README" sheetId="2" state="visible" r:id="rId2"/>
    <sheet name="Dashboard" sheetId="3" state="visible" r:id="rId3"/>
    <sheet name="Areas" sheetId="4" state="visible" r:id="rId4"/>
    <sheet name="Streets_Blocks" sheetId="5" state="visible" r:id="rId5"/>
    <sheet name="Landmarks" sheetId="6" state="visible" r:id="rId6"/>
    <sheet name="Property_Records" sheetId="7" state="visible" r:id="rId7"/>
    <sheet name="Market_Data" sheetId="8" state="visible" r:id="rId8"/>
    <sheet name="Listings" sheetId="9" state="visible" r:id="rId9"/>
    <sheet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0B3B3A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B3B3A"/>
        <bgColor rgb="000B3B3A"/>
      </patternFill>
    </fill>
    <fill>
      <patternFill patternType="solid">
        <fgColor rgb="00D9F3EF"/>
        <bgColor rgb="00D9F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Area_Type</t>
        </is>
      </c>
      <c r="B1" s="1" t="inlineStr">
        <is>
          <t>Confidence</t>
        </is>
      </c>
      <c r="C1" s="1" t="inlineStr">
        <is>
          <t>Status</t>
        </is>
      </c>
      <c r="D1" s="1" t="inlineStr">
        <is>
          <t>Approval_Status</t>
        </is>
      </c>
      <c r="E1" s="1" t="inlineStr">
        <is>
          <t>Property_Type</t>
        </is>
      </c>
      <c r="F1" s="1" t="inlineStr">
        <is>
          <t>Landmark_Category</t>
        </is>
      </c>
      <c r="G1" s="1" t="inlineStr">
        <is>
          <t>Source_Type</t>
        </is>
      </c>
      <c r="H1" s="1" t="inlineStr">
        <is>
          <t>Demand_Level</t>
        </is>
      </c>
      <c r="I1" s="1" t="inlineStr">
        <is>
          <t>Supply_Level</t>
        </is>
      </c>
      <c r="J1" s="1" t="inlineStr">
        <is>
          <t>Availability</t>
        </is>
      </c>
      <c r="K1" s="1" t="inlineStr">
        <is>
          <t>Yes_No</t>
        </is>
      </c>
      <c r="L1" s="1" t="inlineStr">
        <is>
          <t>Surface_Type</t>
        </is>
      </c>
      <c r="M1" s="1" t="inlineStr">
        <is>
          <t>Access_Type</t>
        </is>
      </c>
      <c r="N1" s="1" t="inlineStr">
        <is>
          <t>Record_Type</t>
        </is>
      </c>
    </row>
    <row r="2">
      <c r="A2" t="inlineStr">
        <is>
          <t>Town</t>
        </is>
      </c>
      <c r="B2" t="inlineStr">
        <is>
          <t>Official</t>
        </is>
      </c>
      <c r="C2" t="inlineStr">
        <is>
          <t>Draft</t>
        </is>
      </c>
      <c r="D2" t="inlineStr">
        <is>
          <t>Approved</t>
        </is>
      </c>
      <c r="E2" t="inlineStr">
        <is>
          <t>House</t>
        </is>
      </c>
      <c r="F2" t="inlineStr">
        <is>
          <t>School</t>
        </is>
      </c>
      <c r="G2" t="inlineStr">
        <is>
          <t>Government</t>
        </is>
      </c>
      <c r="H2" t="inlineStr">
        <is>
          <t>Low</t>
        </is>
      </c>
      <c r="I2" t="inlineStr">
        <is>
          <t>Low</t>
        </is>
      </c>
      <c r="J2" t="inlineStr">
        <is>
          <t>Available</t>
        </is>
      </c>
      <c r="K2" t="inlineStr">
        <is>
          <t>Yes</t>
        </is>
      </c>
      <c r="L2" t="inlineStr">
        <is>
          <t>Paved</t>
        </is>
      </c>
      <c r="M2" t="inlineStr">
        <is>
          <t>Main Road</t>
        </is>
      </c>
      <c r="N2" t="inlineStr">
        <is>
          <t>Fard</t>
        </is>
      </c>
    </row>
    <row r="3">
      <c r="A3" t="inlineStr">
        <is>
          <t>Colony</t>
        </is>
      </c>
      <c r="B3" t="inlineStr">
        <is>
          <t>Map Verified</t>
        </is>
      </c>
      <c r="C3" t="inlineStr">
        <is>
          <t>Needs Review</t>
        </is>
      </c>
      <c r="D3" t="inlineStr">
        <is>
          <t>Unapproved</t>
        </is>
      </c>
      <c r="E3" t="inlineStr">
        <is>
          <t>Plot</t>
        </is>
      </c>
      <c r="F3" t="inlineStr">
        <is>
          <t>Hospital/Clinic</t>
        </is>
      </c>
      <c r="G3" t="inlineStr">
        <is>
          <t>Map</t>
        </is>
      </c>
      <c r="H3" t="inlineStr">
        <is>
          <t>Medium</t>
        </is>
      </c>
      <c r="I3" t="inlineStr">
        <is>
          <t>Medium</t>
        </is>
      </c>
      <c r="J3" t="inlineStr">
        <is>
          <t>Reserved</t>
        </is>
      </c>
      <c r="K3" t="inlineStr">
        <is>
          <t>No</t>
        </is>
      </c>
      <c r="L3" t="inlineStr">
        <is>
          <t>Unpaved</t>
        </is>
      </c>
      <c r="M3" t="inlineStr">
        <is>
          <t>Internal Road</t>
        </is>
      </c>
      <c r="N3" t="inlineStr">
        <is>
          <t>Registry</t>
        </is>
      </c>
    </row>
    <row r="4">
      <c r="A4" t="inlineStr">
        <is>
          <t>Housing Scheme</t>
        </is>
      </c>
      <c r="B4" t="inlineStr">
        <is>
          <t>Local Confirmed</t>
        </is>
      </c>
      <c r="C4" t="inlineStr">
        <is>
          <t>Verified</t>
        </is>
      </c>
      <c r="D4" t="inlineStr">
        <is>
          <t>Unknown</t>
        </is>
      </c>
      <c r="E4" t="inlineStr">
        <is>
          <t>Residential Building</t>
        </is>
      </c>
      <c r="F4" t="inlineStr">
        <is>
          <t>Mosque</t>
        </is>
      </c>
      <c r="G4" t="inlineStr">
        <is>
          <t>Local</t>
        </is>
      </c>
      <c r="H4" t="inlineStr">
        <is>
          <t>High</t>
        </is>
      </c>
      <c r="I4" t="inlineStr">
        <is>
          <t>High</t>
        </is>
      </c>
      <c r="J4" t="inlineStr">
        <is>
          <t>Sold/Closed</t>
        </is>
      </c>
      <c r="K4" t="inlineStr"/>
      <c r="L4" t="inlineStr">
        <is>
          <t>Mixed</t>
        </is>
      </c>
      <c r="M4" t="inlineStr">
        <is>
          <t>Street</t>
        </is>
      </c>
      <c r="N4" t="inlineStr">
        <is>
          <t>Mutation/Intiqal</t>
        </is>
      </c>
    </row>
    <row r="5">
      <c r="A5" t="inlineStr">
        <is>
          <t>Block</t>
        </is>
      </c>
      <c r="B5" t="inlineStr">
        <is>
          <t>Unverified</t>
        </is>
      </c>
      <c r="C5" t="inlineStr">
        <is>
          <t>Published</t>
        </is>
      </c>
      <c r="D5" t="inlineStr">
        <is>
          <t>N/A</t>
        </is>
      </c>
      <c r="E5" t="inlineStr">
        <is>
          <t>Commercial</t>
        </is>
      </c>
      <c r="F5" t="inlineStr">
        <is>
          <t>Market</t>
        </is>
      </c>
      <c r="G5" t="inlineStr">
        <is>
          <t>Portal</t>
        </is>
      </c>
      <c r="H5" t="inlineStr"/>
      <c r="I5" t="inlineStr"/>
      <c r="J5" t="inlineStr">
        <is>
          <t>Off Market</t>
        </is>
      </c>
      <c r="K5" t="inlineStr"/>
      <c r="L5" t="inlineStr"/>
      <c r="M5" t="inlineStr">
        <is>
          <t>Lane/Gali</t>
        </is>
      </c>
      <c r="N5" t="inlineStr">
        <is>
          <t>Ownership Record</t>
        </is>
      </c>
    </row>
    <row r="6">
      <c r="A6" t="inlineStr">
        <is>
          <t>Revenue Area</t>
        </is>
      </c>
      <c r="B6" t="inlineStr"/>
      <c r="C6" t="inlineStr"/>
      <c r="D6" t="inlineStr"/>
      <c r="E6" t="inlineStr">
        <is>
          <t>Agricultural</t>
        </is>
      </c>
      <c r="F6" t="inlineStr">
        <is>
          <t>Park</t>
        </is>
      </c>
      <c r="G6" t="inlineStr">
        <is>
          <t>Agent Observation</t>
        </is>
      </c>
      <c r="H6" t="inlineStr"/>
      <c r="I6" t="inlineStr"/>
      <c r="J6" t="inlineStr"/>
      <c r="K6" t="inlineStr"/>
      <c r="L6" t="inlineStr"/>
      <c r="M6" t="inlineStr"/>
      <c r="N6" t="inlineStr">
        <is>
          <t>Tax/Valuation</t>
        </is>
      </c>
    </row>
    <row r="7">
      <c r="A7" t="inlineStr">
        <is>
          <t>Village/Chak</t>
        </is>
      </c>
      <c r="B7" t="inlineStr"/>
      <c r="C7" t="inlineStr"/>
      <c r="D7" t="inlineStr"/>
      <c r="E7" t="inlineStr">
        <is>
          <t>Other</t>
        </is>
      </c>
      <c r="F7" t="inlineStr">
        <is>
          <t>Government Office</t>
        </is>
      </c>
      <c r="G7" t="inlineStr">
        <is>
          <t>Client Provided</t>
        </is>
      </c>
      <c r="H7" t="inlineStr"/>
      <c r="I7" t="inlineStr"/>
      <c r="J7" t="inlineStr"/>
      <c r="K7" t="inlineStr"/>
      <c r="L7" t="inlineStr"/>
      <c r="M7" t="inlineStr"/>
      <c r="N7" t="inlineStr">
        <is>
          <t>Other</t>
        </is>
      </c>
    </row>
    <row r="8">
      <c r="A8" t="inlineStr">
        <is>
          <t>Other</t>
        </is>
      </c>
      <c r="B8" t="inlineStr"/>
      <c r="C8" t="inlineStr"/>
      <c r="D8" t="inlineStr"/>
      <c r="E8" t="inlineStr"/>
      <c r="F8" t="inlineStr">
        <is>
          <t>Transport</t>
        </is>
      </c>
      <c r="G8" t="inlineStr">
        <is>
          <t>Other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>
        <is>
          <t>Bank/ATM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>
        <is>
          <t>Shopping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>
        <is>
          <t>Other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20" customWidth="1" min="4" max="4"/>
    <col width="50" customWidth="1" min="5" max="5"/>
  </cols>
  <sheetData>
    <row r="1">
      <c r="A1" s="2" t="inlineStr">
        <is>
          <t>Chichawatni Local Property Knowledge Base</t>
        </is>
      </c>
    </row>
    <row r="2"/>
    <row r="4" ht="36" customHeight="1">
      <c r="A4" s="3" t="inlineStr">
        <is>
          <t>Purpose</t>
        </is>
      </c>
      <c r="B4" s="4" t="inlineStr">
        <is>
          <t>Build a verified local property knowledge database for SIDDHU Property Advisor. Use it for area pages, local guides, listings, internal research, AEO/GEO and local SEO.</t>
        </is>
      </c>
      <c r="D4" s="5" t="inlineStr">
        <is>
          <t>Confidence</t>
        </is>
      </c>
      <c r="E4" s="5" t="inlineStr">
        <is>
          <t>Meaning</t>
        </is>
      </c>
    </row>
    <row r="5" ht="36" customHeight="1">
      <c r="A5" s="3" t="inlineStr">
        <is>
          <t>Core hierarchy</t>
        </is>
      </c>
      <c r="B5" s="4" t="inlineStr">
        <is>
          <t>Chichawatni → Revenue Chak → Town/Colony → Block → Street/Gali → Landmark → Property</t>
        </is>
      </c>
      <c r="D5" s="6" t="inlineStr">
        <is>
          <t>Official</t>
        </is>
      </c>
      <c r="E5" s="6" t="inlineStr">
        <is>
          <t>Government / authority / official society record</t>
        </is>
      </c>
    </row>
    <row r="6" ht="36" customHeight="1">
      <c r="A6" s="3" t="inlineStr">
        <is>
          <t>Rule 1</t>
        </is>
      </c>
      <c r="B6" s="4" t="inlineStr">
        <is>
          <t>Never guess street counts, block counts, approval status, road widths, distances or property prices.</t>
        </is>
      </c>
      <c r="D6" s="6" t="inlineStr">
        <is>
          <t>Map Verified</t>
        </is>
      </c>
      <c r="E6" s="6" t="inlineStr">
        <is>
          <t>Confirmed from reliable mapping + matching context</t>
        </is>
      </c>
    </row>
    <row r="7" ht="36" customHeight="1">
      <c r="A7" s="3" t="inlineStr">
        <is>
          <t>Rule 2</t>
        </is>
      </c>
      <c r="B7" s="4" t="inlineStr">
        <is>
          <t>Every factual row should have a source URL or a clear Local Confirmed note wherever possible.</t>
        </is>
      </c>
      <c r="D7" s="6" t="inlineStr">
        <is>
          <t>Local Confirmed</t>
        </is>
      </c>
      <c r="E7" s="6" t="inlineStr">
        <is>
          <t>Confirmed by SIDDHU/local field knowledge</t>
        </is>
      </c>
    </row>
    <row r="8" ht="36" customHeight="1">
      <c r="A8" s="3" t="inlineStr">
        <is>
          <t>Rule 3</t>
        </is>
      </c>
      <c r="B8" s="4" t="inlineStr">
        <is>
          <t>Use Confidence consistently: Official, Map Verified, Local Confirmed, Unverified.</t>
        </is>
      </c>
      <c r="D8" s="6" t="inlineStr">
        <is>
          <t>Unverified</t>
        </is>
      </c>
      <c r="E8" s="6" t="inlineStr">
        <is>
          <t>Lead only — do not publish as fact</t>
        </is>
      </c>
    </row>
    <row r="9" ht="36" customHeight="1">
      <c r="A9" s="3" t="inlineStr">
        <is>
          <t>Rule 4</t>
        </is>
      </c>
      <c r="B9" s="4" t="inlineStr">
        <is>
          <t>Use Last_Verified dates. Re-check volatile data before publishing.</t>
        </is>
      </c>
    </row>
    <row r="10" ht="36" customHeight="1">
      <c r="A10" s="3" t="inlineStr">
        <is>
          <t>Rule 5</t>
        </is>
      </c>
      <c r="B10" s="4" t="inlineStr">
        <is>
          <t>Keep internal pricing/market observations private unless you explicitly decide to publish them.</t>
        </is>
      </c>
    </row>
    <row r="11" ht="36" customHeight="1">
      <c r="A11" s="3" t="inlineStr">
        <is>
          <t>Recommended workflow</t>
        </is>
      </c>
      <c r="B11" s="4" t="inlineStr">
        <is>
          <t>1) Add Area → 2) Add streets/blocks → 3) Add landmarks → 4) Add official record information → 5) Add listings → 6) Verify sources → 7) Publish only verified page content.</t>
        </is>
      </c>
    </row>
    <row r="12" ht="36" customHeight="1">
      <c r="A12" s="3" t="inlineStr">
        <is>
          <t>Public-page rule</t>
        </is>
      </c>
      <c r="B12" s="4" t="inlineStr">
        <is>
          <t>Do not create thin street pages. Publish strong area pages with verified local data and real property context.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4" max="4"/>
    <col width="26" customWidth="1" min="5" max="5"/>
    <col width="48" customWidth="1" min="6" max="6"/>
  </cols>
  <sheetData>
    <row r="1">
      <c r="A1" s="2" t="inlineStr">
        <is>
          <t>SIDDHU Local Knowledge Dashboard</t>
        </is>
      </c>
    </row>
    <row r="2"/>
    <row r="4">
      <c r="A4" s="5" t="inlineStr">
        <is>
          <t>Metric</t>
        </is>
      </c>
      <c r="B4" s="5" t="inlineStr">
        <is>
          <t>Value</t>
        </is>
      </c>
      <c r="D4" s="5" t="inlineStr">
        <is>
          <t>Publishing Gate</t>
        </is>
      </c>
      <c r="E4" s="5" t="inlineStr">
        <is>
          <t>Target</t>
        </is>
      </c>
      <c r="F4" s="5" t="inlineStr">
        <is>
          <t>Rule</t>
        </is>
      </c>
    </row>
    <row r="5">
      <c r="A5" s="3" t="inlineStr">
        <is>
          <t>Areas entered</t>
        </is>
      </c>
      <c r="B5" s="7">
        <f>MAX(0,COUNTA(Areas!B:B)-1)</f>
        <v/>
      </c>
      <c r="D5" s="6" t="inlineStr">
        <is>
          <t>Area page</t>
        </is>
      </c>
      <c r="E5" s="6" t="inlineStr">
        <is>
          <t>Verified or Published</t>
        </is>
      </c>
      <c r="F5" s="6" t="inlineStr">
        <is>
          <t>No thin pages; enough unique local data</t>
        </is>
      </c>
    </row>
    <row r="6">
      <c r="A6" s="3" t="inlineStr">
        <is>
          <t>Verified/Published areas</t>
        </is>
      </c>
      <c r="B6" s="7">
        <f>COUNTIF(Areas!U:U,"Verified")+COUNTIF(Areas!U:U,"Published")</f>
        <v/>
      </c>
      <c r="D6" s="6" t="inlineStr">
        <is>
          <t>Street data</t>
        </is>
      </c>
      <c r="E6" s="6" t="inlineStr">
        <is>
          <t>Official / Map Verified / Local Confirmed</t>
        </is>
      </c>
      <c r="F6" s="6" t="inlineStr">
        <is>
          <t>Do not publish guessed counts</t>
        </is>
      </c>
    </row>
    <row r="7">
      <c r="A7" s="3" t="inlineStr">
        <is>
          <t>Street / Block records</t>
        </is>
      </c>
      <c r="B7" s="7">
        <f>MAX(0,COUNTA(Streets_Blocks!A:A)-1)</f>
        <v/>
      </c>
      <c r="D7" s="6" t="inlineStr">
        <is>
          <t>Approval/legal status</t>
        </is>
      </c>
      <c r="E7" s="6" t="inlineStr">
        <is>
          <t>Official source only</t>
        </is>
      </c>
      <c r="F7" s="6" t="inlineStr">
        <is>
          <t>Always store source URL + verified date</t>
        </is>
      </c>
    </row>
    <row r="8">
      <c r="A8" s="3" t="inlineStr">
        <is>
          <t>Landmarks</t>
        </is>
      </c>
      <c r="B8" s="7">
        <f>MAX(0,COUNTA(Landmarks!A:A)-1)</f>
        <v/>
      </c>
      <c r="D8" s="6" t="inlineStr">
        <is>
          <t>Market data</t>
        </is>
      </c>
      <c r="E8" s="6" t="inlineStr">
        <is>
          <t>Internal unless approved</t>
        </is>
      </c>
      <c r="F8" s="6" t="inlineStr">
        <is>
          <t>Do not confuse asking price with official valuation</t>
        </is>
      </c>
    </row>
    <row r="9">
      <c r="A9" s="3" t="inlineStr">
        <is>
          <t>Active listings</t>
        </is>
      </c>
      <c r="B9" s="7">
        <f>COUNTIF(Listings!T:T,"Available")</f>
        <v/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0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18" customWidth="1" min="15" max="15"/>
    <col width="28" customWidth="1" min="16" max="16"/>
    <col width="28" customWidth="1" min="17" max="17"/>
    <col width="16" customWidth="1" min="18" max="18"/>
    <col width="16" customWidth="1" min="19" max="19"/>
    <col width="18" customWidth="1" min="20" max="20"/>
    <col width="16" customWidth="1" min="21" max="21"/>
    <col width="16" customWidth="1" min="22" max="22"/>
    <col width="28" customWidth="1" min="23" max="23"/>
    <col width="16" customWidth="1" min="24" max="24"/>
  </cols>
  <sheetData>
    <row r="1" ht="24" customHeight="1">
      <c r="A1" s="1" t="inlineStr">
        <is>
          <t>Area_ID</t>
        </is>
      </c>
      <c r="B1" s="1" t="inlineStr">
        <is>
          <t>Area_Name</t>
        </is>
      </c>
      <c r="C1" s="1" t="inlineStr">
        <is>
          <t>Alternate_Name</t>
        </is>
      </c>
      <c r="D1" s="1" t="inlineStr">
        <is>
          <t>Area_Type</t>
        </is>
      </c>
      <c r="E1" s="1" t="inlineStr">
        <is>
          <t>Parent_Chak</t>
        </is>
      </c>
      <c r="F1" s="1" t="inlineStr">
        <is>
          <t>Tehsil</t>
        </is>
      </c>
      <c r="G1" s="1" t="inlineStr">
        <is>
          <t>District</t>
        </is>
      </c>
      <c r="H1" s="1" t="inlineStr">
        <is>
          <t>Province</t>
        </is>
      </c>
      <c r="I1" s="1" t="inlineStr">
        <is>
          <t>Postal_Code</t>
        </is>
      </c>
      <c r="J1" s="1" t="inlineStr">
        <is>
          <t>Main_Access_Road</t>
        </is>
      </c>
      <c r="K1" s="1" t="inlineStr">
        <is>
          <t>Nearby_Areas</t>
        </is>
      </c>
      <c r="L1" s="1" t="inlineStr">
        <is>
          <t>Residential_Character</t>
        </is>
      </c>
      <c r="M1" s="1" t="inlineStr">
        <is>
          <t>Common_House_Sizes</t>
        </is>
      </c>
      <c r="N1" s="1" t="inlineStr">
        <is>
          <t>Utilities_Status</t>
        </is>
      </c>
      <c r="O1" s="1" t="inlineStr">
        <is>
          <t>Approval_Status</t>
        </is>
      </c>
      <c r="P1" s="1" t="inlineStr">
        <is>
          <t>Approval_Source_URL</t>
        </is>
      </c>
      <c r="Q1" s="1" t="inlineStr">
        <is>
          <t>Map_URL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Data_Confidence</t>
        </is>
      </c>
      <c r="U1" s="1" t="inlineStr">
        <is>
          <t>Last_Verified</t>
        </is>
      </c>
      <c r="V1" s="1" t="inlineStr">
        <is>
          <t>Status</t>
        </is>
      </c>
      <c r="W1" s="1" t="inlineStr">
        <is>
          <t>Notes</t>
        </is>
      </c>
      <c r="X1" s="1" t="inlineStr">
        <is>
          <t>Completeness_%</t>
        </is>
      </c>
      <c r="Z1" s="3" t="inlineStr">
        <is>
          <t>One row per town/colony/revenue area. Use Area_ID as the parent key everywhere.</t>
        </is>
      </c>
    </row>
    <row r="2">
      <c r="X2" s="8">
        <f>IF(B2="","",ROUND(COUNTA(B2,D2,E2,J2,K2,L2,M2,N2,O2,P2,Q2,T2,U2,V2)/14*100,0))</f>
        <v/>
      </c>
    </row>
    <row r="3">
      <c r="X3" s="8">
        <f>IF(B3="","",ROUND(COUNTA(B3,D3,E3,J3,K3,L3,M3,N3,O3,P3,Q3,T3,U3,V3)/14*100,0))</f>
        <v/>
      </c>
    </row>
    <row r="4">
      <c r="X4" s="8">
        <f>IF(B4="","",ROUND(COUNTA(B4,D4,E4,J4,K4,L4,M4,N4,O4,P4,Q4,T4,U4,V4)/14*100,0))</f>
        <v/>
      </c>
    </row>
    <row r="5">
      <c r="X5" s="8">
        <f>IF(B5="","",ROUND(COUNTA(B5,D5,E5,J5,K5,L5,M5,N5,O5,P5,Q5,T5,U5,V5)/14*100,0))</f>
        <v/>
      </c>
    </row>
    <row r="6">
      <c r="X6" s="8">
        <f>IF(B6="","",ROUND(COUNTA(B6,D6,E6,J6,K6,L6,M6,N6,O6,P6,Q6,T6,U6,V6)/14*100,0))</f>
        <v/>
      </c>
    </row>
    <row r="7">
      <c r="X7" s="8">
        <f>IF(B7="","",ROUND(COUNTA(B7,D7,E7,J7,K7,L7,M7,N7,O7,P7,Q7,T7,U7,V7)/14*100,0))</f>
        <v/>
      </c>
    </row>
    <row r="8">
      <c r="X8" s="8">
        <f>IF(B8="","",ROUND(COUNTA(B8,D8,E8,J8,K8,L8,M8,N8,O8,P8,Q8,T8,U8,V8)/14*100,0))</f>
        <v/>
      </c>
    </row>
    <row r="9">
      <c r="X9" s="8">
        <f>IF(B9="","",ROUND(COUNTA(B9,D9,E9,J9,K9,L9,M9,N9,O9,P9,Q9,T9,U9,V9)/14*100,0))</f>
        <v/>
      </c>
    </row>
    <row r="10">
      <c r="X10" s="8">
        <f>IF(B10="","",ROUND(COUNTA(B10,D10,E10,J10,K10,L10,M10,N10,O10,P10,Q10,T10,U10,V10)/14*100,0))</f>
        <v/>
      </c>
    </row>
    <row r="11">
      <c r="X11" s="8">
        <f>IF(B11="","",ROUND(COUNTA(B11,D11,E11,J11,K11,L11,M11,N11,O11,P11,Q11,T11,U11,V11)/14*100,0))</f>
        <v/>
      </c>
    </row>
    <row r="12">
      <c r="X12" s="8">
        <f>IF(B12="","",ROUND(COUNTA(B12,D12,E12,J12,K12,L12,M12,N12,O12,P12,Q12,T12,U12,V12)/14*100,0))</f>
        <v/>
      </c>
    </row>
    <row r="13">
      <c r="X13" s="8">
        <f>IF(B13="","",ROUND(COUNTA(B13,D13,E13,J13,K13,L13,M13,N13,O13,P13,Q13,T13,U13,V13)/14*100,0))</f>
        <v/>
      </c>
    </row>
    <row r="14">
      <c r="X14" s="8">
        <f>IF(B14="","",ROUND(COUNTA(B14,D14,E14,J14,K14,L14,M14,N14,O14,P14,Q14,T14,U14,V14)/14*100,0))</f>
        <v/>
      </c>
    </row>
    <row r="15">
      <c r="X15" s="8">
        <f>IF(B15="","",ROUND(COUNTA(B15,D15,E15,J15,K15,L15,M15,N15,O15,P15,Q15,T15,U15,V15)/14*100,0))</f>
        <v/>
      </c>
    </row>
    <row r="16">
      <c r="X16" s="8">
        <f>IF(B16="","",ROUND(COUNTA(B16,D16,E16,J16,K16,L16,M16,N16,O16,P16,Q16,T16,U16,V16)/14*100,0))</f>
        <v/>
      </c>
    </row>
    <row r="17">
      <c r="X17" s="8">
        <f>IF(B17="","",ROUND(COUNTA(B17,D17,E17,J17,K17,L17,M17,N17,O17,P17,Q17,T17,U17,V17)/14*100,0))</f>
        <v/>
      </c>
    </row>
    <row r="18">
      <c r="X18" s="8">
        <f>IF(B18="","",ROUND(COUNTA(B18,D18,E18,J18,K18,L18,M18,N18,O18,P18,Q18,T18,U18,V18)/14*100,0))</f>
        <v/>
      </c>
    </row>
    <row r="19">
      <c r="X19" s="8">
        <f>IF(B19="","",ROUND(COUNTA(B19,D19,E19,J19,K19,L19,M19,N19,O19,P19,Q19,T19,U19,V19)/14*100,0))</f>
        <v/>
      </c>
    </row>
    <row r="20">
      <c r="X20" s="8">
        <f>IF(B20="","",ROUND(COUNTA(B20,D20,E20,J20,K20,L20,M20,N20,O20,P20,Q20,T20,U20,V20)/14*100,0))</f>
        <v/>
      </c>
    </row>
    <row r="21">
      <c r="X21" s="8">
        <f>IF(B21="","",ROUND(COUNTA(B21,D21,E21,J21,K21,L21,M21,N21,O21,P21,Q21,T21,U21,V21)/14*100,0))</f>
        <v/>
      </c>
    </row>
    <row r="22">
      <c r="X22" s="8">
        <f>IF(B22="","",ROUND(COUNTA(B22,D22,E22,J22,K22,L22,M22,N22,O22,P22,Q22,T22,U22,V22)/14*100,0))</f>
        <v/>
      </c>
    </row>
    <row r="23">
      <c r="X23" s="8">
        <f>IF(B23="","",ROUND(COUNTA(B23,D23,E23,J23,K23,L23,M23,N23,O23,P23,Q23,T23,U23,V23)/14*100,0))</f>
        <v/>
      </c>
    </row>
    <row r="24">
      <c r="X24" s="8">
        <f>IF(B24="","",ROUND(COUNTA(B24,D24,E24,J24,K24,L24,M24,N24,O24,P24,Q24,T24,U24,V24)/14*100,0))</f>
        <v/>
      </c>
    </row>
    <row r="25">
      <c r="X25" s="8">
        <f>IF(B25="","",ROUND(COUNTA(B25,D25,E25,J25,K25,L25,M25,N25,O25,P25,Q25,T25,U25,V25)/14*100,0))</f>
        <v/>
      </c>
    </row>
    <row r="26">
      <c r="X26" s="8">
        <f>IF(B26="","",ROUND(COUNTA(B26,D26,E26,J26,K26,L26,M26,N26,O26,P26,Q26,T26,U26,V26)/14*100,0))</f>
        <v/>
      </c>
    </row>
    <row r="27">
      <c r="X27" s="8">
        <f>IF(B27="","",ROUND(COUNTA(B27,D27,E27,J27,K27,L27,M27,N27,O27,P27,Q27,T27,U27,V27)/14*100,0))</f>
        <v/>
      </c>
    </row>
    <row r="28">
      <c r="X28" s="8">
        <f>IF(B28="","",ROUND(COUNTA(B28,D28,E28,J28,K28,L28,M28,N28,O28,P28,Q28,T28,U28,V28)/14*100,0))</f>
        <v/>
      </c>
    </row>
    <row r="29">
      <c r="X29" s="8">
        <f>IF(B29="","",ROUND(COUNTA(B29,D29,E29,J29,K29,L29,M29,N29,O29,P29,Q29,T29,U29,V29)/14*100,0))</f>
        <v/>
      </c>
    </row>
    <row r="30">
      <c r="X30" s="8">
        <f>IF(B30="","",ROUND(COUNTA(B30,D30,E30,J30,K30,L30,M30,N30,O30,P30,Q30,T30,U30,V30)/14*100,0))</f>
        <v/>
      </c>
    </row>
    <row r="31">
      <c r="X31" s="8">
        <f>IF(B31="","",ROUND(COUNTA(B31,D31,E31,J31,K31,L31,M31,N31,O31,P31,Q31,T31,U31,V31)/14*100,0))</f>
        <v/>
      </c>
    </row>
    <row r="32">
      <c r="X32" s="8">
        <f>IF(B32="","",ROUND(COUNTA(B32,D32,E32,J32,K32,L32,M32,N32,O32,P32,Q32,T32,U32,V32)/14*100,0))</f>
        <v/>
      </c>
    </row>
    <row r="33">
      <c r="X33" s="8">
        <f>IF(B33="","",ROUND(COUNTA(B33,D33,E33,J33,K33,L33,M33,N33,O33,P33,Q33,T33,U33,V33)/14*100,0))</f>
        <v/>
      </c>
    </row>
    <row r="34">
      <c r="X34" s="8">
        <f>IF(B34="","",ROUND(COUNTA(B34,D34,E34,J34,K34,L34,M34,N34,O34,P34,Q34,T34,U34,V34)/14*100,0))</f>
        <v/>
      </c>
    </row>
    <row r="35">
      <c r="X35" s="8">
        <f>IF(B35="","",ROUND(COUNTA(B35,D35,E35,J35,K35,L35,M35,N35,O35,P35,Q35,T35,U35,V35)/14*100,0))</f>
        <v/>
      </c>
    </row>
    <row r="36">
      <c r="X36" s="8">
        <f>IF(B36="","",ROUND(COUNTA(B36,D36,E36,J36,K36,L36,M36,N36,O36,P36,Q36,T36,U36,V36)/14*100,0))</f>
        <v/>
      </c>
    </row>
    <row r="37">
      <c r="X37" s="8">
        <f>IF(B37="","",ROUND(COUNTA(B37,D37,E37,J37,K37,L37,M37,N37,O37,P37,Q37,T37,U37,V37)/14*100,0))</f>
        <v/>
      </c>
    </row>
    <row r="38">
      <c r="X38" s="8">
        <f>IF(B38="","",ROUND(COUNTA(B38,D38,E38,J38,K38,L38,M38,N38,O38,P38,Q38,T38,U38,V38)/14*100,0))</f>
        <v/>
      </c>
    </row>
    <row r="39">
      <c r="X39" s="8">
        <f>IF(B39="","",ROUND(COUNTA(B39,D39,E39,J39,K39,L39,M39,N39,O39,P39,Q39,T39,U39,V39)/14*100,0))</f>
        <v/>
      </c>
    </row>
    <row r="40">
      <c r="X40" s="8">
        <f>IF(B40="","",ROUND(COUNTA(B40,D40,E40,J40,K40,L40,M40,N40,O40,P40,Q40,T40,U40,V40)/14*100,0))</f>
        <v/>
      </c>
    </row>
    <row r="41">
      <c r="X41" s="8">
        <f>IF(B41="","",ROUND(COUNTA(B41,D41,E41,J41,K41,L41,M41,N41,O41,P41,Q41,T41,U41,V41)/14*100,0))</f>
        <v/>
      </c>
    </row>
    <row r="42">
      <c r="X42" s="8">
        <f>IF(B42="","",ROUND(COUNTA(B42,D42,E42,J42,K42,L42,M42,N42,O42,P42,Q42,T42,U42,V42)/14*100,0))</f>
        <v/>
      </c>
    </row>
    <row r="43">
      <c r="X43" s="8">
        <f>IF(B43="","",ROUND(COUNTA(B43,D43,E43,J43,K43,L43,M43,N43,O43,P43,Q43,T43,U43,V43)/14*100,0))</f>
        <v/>
      </c>
    </row>
    <row r="44">
      <c r="X44" s="8">
        <f>IF(B44="","",ROUND(COUNTA(B44,D44,E44,J44,K44,L44,M44,N44,O44,P44,Q44,T44,U44,V44)/14*100,0))</f>
        <v/>
      </c>
    </row>
    <row r="45">
      <c r="X45" s="8">
        <f>IF(B45="","",ROUND(COUNTA(B45,D45,E45,J45,K45,L45,M45,N45,O45,P45,Q45,T45,U45,V45)/14*100,0))</f>
        <v/>
      </c>
    </row>
    <row r="46">
      <c r="X46" s="8">
        <f>IF(B46="","",ROUND(COUNTA(B46,D46,E46,J46,K46,L46,M46,N46,O46,P46,Q46,T46,U46,V46)/14*100,0))</f>
        <v/>
      </c>
    </row>
    <row r="47">
      <c r="X47" s="8">
        <f>IF(B47="","",ROUND(COUNTA(B47,D47,E47,J47,K47,L47,M47,N47,O47,P47,Q47,T47,U47,V47)/14*100,0))</f>
        <v/>
      </c>
    </row>
    <row r="48">
      <c r="X48" s="8">
        <f>IF(B48="","",ROUND(COUNTA(B48,D48,E48,J48,K48,L48,M48,N48,O48,P48,Q48,T48,U48,V48)/14*100,0))</f>
        <v/>
      </c>
    </row>
    <row r="49">
      <c r="X49" s="8">
        <f>IF(B49="","",ROUND(COUNTA(B49,D49,E49,J49,K49,L49,M49,N49,O49,P49,Q49,T49,U49,V49)/14*100,0))</f>
        <v/>
      </c>
    </row>
    <row r="50">
      <c r="X50" s="8">
        <f>IF(B50="","",ROUND(COUNTA(B50,D50,E50,J50,K50,L50,M50,N50,O50,P50,Q50,T50,U50,V50)/14*100,0))</f>
        <v/>
      </c>
    </row>
    <row r="51">
      <c r="X51" s="8">
        <f>IF(B51="","",ROUND(COUNTA(B51,D51,E51,J51,K51,L51,M51,N51,O51,P51,Q51,T51,U51,V51)/14*100,0))</f>
        <v/>
      </c>
    </row>
    <row r="52">
      <c r="X52" s="8">
        <f>IF(B52="","",ROUND(COUNTA(B52,D52,E52,J52,K52,L52,M52,N52,O52,P52,Q52,T52,U52,V52)/14*100,0))</f>
        <v/>
      </c>
    </row>
    <row r="53">
      <c r="X53" s="8">
        <f>IF(B53="","",ROUND(COUNTA(B53,D53,E53,J53,K53,L53,M53,N53,O53,P53,Q53,T53,U53,V53)/14*100,0))</f>
        <v/>
      </c>
    </row>
    <row r="54">
      <c r="X54" s="8">
        <f>IF(B54="","",ROUND(COUNTA(B54,D54,E54,J54,K54,L54,M54,N54,O54,P54,Q54,T54,U54,V54)/14*100,0))</f>
        <v/>
      </c>
    </row>
    <row r="55">
      <c r="X55" s="8">
        <f>IF(B55="","",ROUND(COUNTA(B55,D55,E55,J55,K55,L55,M55,N55,O55,P55,Q55,T55,U55,V55)/14*100,0))</f>
        <v/>
      </c>
    </row>
    <row r="56">
      <c r="X56" s="8">
        <f>IF(B56="","",ROUND(COUNTA(B56,D56,E56,J56,K56,L56,M56,N56,O56,P56,Q56,T56,U56,V56)/14*100,0))</f>
        <v/>
      </c>
    </row>
    <row r="57">
      <c r="X57" s="8">
        <f>IF(B57="","",ROUND(COUNTA(B57,D57,E57,J57,K57,L57,M57,N57,O57,P57,Q57,T57,U57,V57)/14*100,0))</f>
        <v/>
      </c>
    </row>
    <row r="58">
      <c r="X58" s="8">
        <f>IF(B58="","",ROUND(COUNTA(B58,D58,E58,J58,K58,L58,M58,N58,O58,P58,Q58,T58,U58,V58)/14*100,0))</f>
        <v/>
      </c>
    </row>
    <row r="59">
      <c r="X59" s="8">
        <f>IF(B59="","",ROUND(COUNTA(B59,D59,E59,J59,K59,L59,M59,N59,O59,P59,Q59,T59,U59,V59)/14*100,0))</f>
        <v/>
      </c>
    </row>
    <row r="60">
      <c r="X60" s="8">
        <f>IF(B60="","",ROUND(COUNTA(B60,D60,E60,J60,K60,L60,M60,N60,O60,P60,Q60,T60,U60,V60)/14*100,0))</f>
        <v/>
      </c>
    </row>
    <row r="61">
      <c r="X61" s="8">
        <f>IF(B61="","",ROUND(COUNTA(B61,D61,E61,J61,K61,L61,M61,N61,O61,P61,Q61,T61,U61,V61)/14*100,0))</f>
        <v/>
      </c>
    </row>
    <row r="62">
      <c r="X62" s="8">
        <f>IF(B62="","",ROUND(COUNTA(B62,D62,E62,J62,K62,L62,M62,N62,O62,P62,Q62,T62,U62,V62)/14*100,0))</f>
        <v/>
      </c>
    </row>
    <row r="63">
      <c r="X63" s="8">
        <f>IF(B63="","",ROUND(COUNTA(B63,D63,E63,J63,K63,L63,M63,N63,O63,P63,Q63,T63,U63,V63)/14*100,0))</f>
        <v/>
      </c>
    </row>
    <row r="64">
      <c r="X64" s="8">
        <f>IF(B64="","",ROUND(COUNTA(B64,D64,E64,J64,K64,L64,M64,N64,O64,P64,Q64,T64,U64,V64)/14*100,0))</f>
        <v/>
      </c>
    </row>
    <row r="65">
      <c r="X65" s="8">
        <f>IF(B65="","",ROUND(COUNTA(B65,D65,E65,J65,K65,L65,M65,N65,O65,P65,Q65,T65,U65,V65)/14*100,0))</f>
        <v/>
      </c>
    </row>
    <row r="66">
      <c r="X66" s="8">
        <f>IF(B66="","",ROUND(COUNTA(B66,D66,E66,J66,K66,L66,M66,N66,O66,P66,Q66,T66,U66,V66)/14*100,0))</f>
        <v/>
      </c>
    </row>
    <row r="67">
      <c r="X67" s="8">
        <f>IF(B67="","",ROUND(COUNTA(B67,D67,E67,J67,K67,L67,M67,N67,O67,P67,Q67,T67,U67,V67)/14*100,0))</f>
        <v/>
      </c>
    </row>
    <row r="68">
      <c r="X68" s="8">
        <f>IF(B68="","",ROUND(COUNTA(B68,D68,E68,J68,K68,L68,M68,N68,O68,P68,Q68,T68,U68,V68)/14*100,0))</f>
        <v/>
      </c>
    </row>
    <row r="69">
      <c r="X69" s="8">
        <f>IF(B69="","",ROUND(COUNTA(B69,D69,E69,J69,K69,L69,M69,N69,O69,P69,Q69,T69,U69,V69)/14*100,0))</f>
        <v/>
      </c>
    </row>
    <row r="70">
      <c r="X70" s="8">
        <f>IF(B70="","",ROUND(COUNTA(B70,D70,E70,J70,K70,L70,M70,N70,O70,P70,Q70,T70,U70,V70)/14*100,0))</f>
        <v/>
      </c>
    </row>
    <row r="71">
      <c r="X71" s="8">
        <f>IF(B71="","",ROUND(COUNTA(B71,D71,E71,J71,K71,L71,M71,N71,O71,P71,Q71,T71,U71,V71)/14*100,0))</f>
        <v/>
      </c>
    </row>
    <row r="72">
      <c r="X72" s="8">
        <f>IF(B72="","",ROUND(COUNTA(B72,D72,E72,J72,K72,L72,M72,N72,O72,P72,Q72,T72,U72,V72)/14*100,0))</f>
        <v/>
      </c>
    </row>
    <row r="73">
      <c r="X73" s="8">
        <f>IF(B73="","",ROUND(COUNTA(B73,D73,E73,J73,K73,L73,M73,N73,O73,P73,Q73,T73,U73,V73)/14*100,0))</f>
        <v/>
      </c>
    </row>
    <row r="74">
      <c r="X74" s="8">
        <f>IF(B74="","",ROUND(COUNTA(B74,D74,E74,J74,K74,L74,M74,N74,O74,P74,Q74,T74,U74,V74)/14*100,0))</f>
        <v/>
      </c>
    </row>
    <row r="75">
      <c r="X75" s="8">
        <f>IF(B75="","",ROUND(COUNTA(B75,D75,E75,J75,K75,L75,M75,N75,O75,P75,Q75,T75,U75,V75)/14*100,0))</f>
        <v/>
      </c>
    </row>
    <row r="76">
      <c r="X76" s="8">
        <f>IF(B76="","",ROUND(COUNTA(B76,D76,E76,J76,K76,L76,M76,N76,O76,P76,Q76,T76,U76,V76)/14*100,0))</f>
        <v/>
      </c>
    </row>
    <row r="77">
      <c r="X77" s="8">
        <f>IF(B77="","",ROUND(COUNTA(B77,D77,E77,J77,K77,L77,M77,N77,O77,P77,Q77,T77,U77,V77)/14*100,0))</f>
        <v/>
      </c>
    </row>
    <row r="78">
      <c r="X78" s="8">
        <f>IF(B78="","",ROUND(COUNTA(B78,D78,E78,J78,K78,L78,M78,N78,O78,P78,Q78,T78,U78,V78)/14*100,0))</f>
        <v/>
      </c>
    </row>
    <row r="79">
      <c r="X79" s="8">
        <f>IF(B79="","",ROUND(COUNTA(B79,D79,E79,J79,K79,L79,M79,N79,O79,P79,Q79,T79,U79,V79)/14*100,0))</f>
        <v/>
      </c>
    </row>
    <row r="80">
      <c r="X80" s="8">
        <f>IF(B80="","",ROUND(COUNTA(B80,D80,E80,J80,K80,L80,M80,N80,O80,P80,Q80,T80,U80,V80)/14*100,0))</f>
        <v/>
      </c>
    </row>
    <row r="81">
      <c r="X81" s="8">
        <f>IF(B81="","",ROUND(COUNTA(B81,D81,E81,J81,K81,L81,M81,N81,O81,P81,Q81,T81,U81,V81)/14*100,0))</f>
        <v/>
      </c>
    </row>
    <row r="82">
      <c r="X82" s="8">
        <f>IF(B82="","",ROUND(COUNTA(B82,D82,E82,J82,K82,L82,M82,N82,O82,P82,Q82,T82,U82,V82)/14*100,0))</f>
        <v/>
      </c>
    </row>
    <row r="83">
      <c r="X83" s="8">
        <f>IF(B83="","",ROUND(COUNTA(B83,D83,E83,J83,K83,L83,M83,N83,O83,P83,Q83,T83,U83,V83)/14*100,0))</f>
        <v/>
      </c>
    </row>
    <row r="84">
      <c r="X84" s="8">
        <f>IF(B84="","",ROUND(COUNTA(B84,D84,E84,J84,K84,L84,M84,N84,O84,P84,Q84,T84,U84,V84)/14*100,0))</f>
        <v/>
      </c>
    </row>
    <row r="85">
      <c r="X85" s="8">
        <f>IF(B85="","",ROUND(COUNTA(B85,D85,E85,J85,K85,L85,M85,N85,O85,P85,Q85,T85,U85,V85)/14*100,0))</f>
        <v/>
      </c>
    </row>
    <row r="86">
      <c r="X86" s="8">
        <f>IF(B86="","",ROUND(COUNTA(B86,D86,E86,J86,K86,L86,M86,N86,O86,P86,Q86,T86,U86,V86)/14*100,0))</f>
        <v/>
      </c>
    </row>
    <row r="87">
      <c r="X87" s="8">
        <f>IF(B87="","",ROUND(COUNTA(B87,D87,E87,J87,K87,L87,M87,N87,O87,P87,Q87,T87,U87,V87)/14*100,0))</f>
        <v/>
      </c>
    </row>
    <row r="88">
      <c r="X88" s="8">
        <f>IF(B88="","",ROUND(COUNTA(B88,D88,E88,J88,K88,L88,M88,N88,O88,P88,Q88,T88,U88,V88)/14*100,0))</f>
        <v/>
      </c>
    </row>
    <row r="89">
      <c r="X89" s="8">
        <f>IF(B89="","",ROUND(COUNTA(B89,D89,E89,J89,K89,L89,M89,N89,O89,P89,Q89,T89,U89,V89)/14*100,0))</f>
        <v/>
      </c>
    </row>
    <row r="90">
      <c r="X90" s="8">
        <f>IF(B90="","",ROUND(COUNTA(B90,D90,E90,J90,K90,L90,M90,N90,O90,P90,Q90,T90,U90,V90)/14*100,0))</f>
        <v/>
      </c>
    </row>
    <row r="91">
      <c r="X91" s="8">
        <f>IF(B91="","",ROUND(COUNTA(B91,D91,E91,J91,K91,L91,M91,N91,O91,P91,Q91,T91,U91,V91)/14*100,0))</f>
        <v/>
      </c>
    </row>
    <row r="92">
      <c r="X92" s="8">
        <f>IF(B92="","",ROUND(COUNTA(B92,D92,E92,J92,K92,L92,M92,N92,O92,P92,Q92,T92,U92,V92)/14*100,0))</f>
        <v/>
      </c>
    </row>
    <row r="93">
      <c r="X93" s="8">
        <f>IF(B93="","",ROUND(COUNTA(B93,D93,E93,J93,K93,L93,M93,N93,O93,P93,Q93,T93,U93,V93)/14*100,0))</f>
        <v/>
      </c>
    </row>
    <row r="94">
      <c r="X94" s="8">
        <f>IF(B94="","",ROUND(COUNTA(B94,D94,E94,J94,K94,L94,M94,N94,O94,P94,Q94,T94,U94,V94)/14*100,0))</f>
        <v/>
      </c>
    </row>
    <row r="95">
      <c r="X95" s="8">
        <f>IF(B95="","",ROUND(COUNTA(B95,D95,E95,J95,K95,L95,M95,N95,O95,P95,Q95,T95,U95,V95)/14*100,0))</f>
        <v/>
      </c>
    </row>
    <row r="96">
      <c r="X96" s="8">
        <f>IF(B96="","",ROUND(COUNTA(B96,D96,E96,J96,K96,L96,M96,N96,O96,P96,Q96,T96,U96,V96)/14*100,0))</f>
        <v/>
      </c>
    </row>
    <row r="97">
      <c r="X97" s="8">
        <f>IF(B97="","",ROUND(COUNTA(B97,D97,E97,J97,K97,L97,M97,N97,O97,P97,Q97,T97,U97,V97)/14*100,0))</f>
        <v/>
      </c>
    </row>
    <row r="98">
      <c r="X98" s="8">
        <f>IF(B98="","",ROUND(COUNTA(B98,D98,E98,J98,K98,L98,M98,N98,O98,P98,Q98,T98,U98,V98)/14*100,0))</f>
        <v/>
      </c>
    </row>
    <row r="99">
      <c r="X99" s="8">
        <f>IF(B99="","",ROUND(COUNTA(B99,D99,E99,J99,K99,L99,M99,N99,O99,P99,Q99,T99,U99,V99)/14*100,0))</f>
        <v/>
      </c>
    </row>
    <row r="100">
      <c r="X100" s="8">
        <f>IF(B100="","",ROUND(COUNTA(B100,D100,E100,J100,K100,L100,M100,N100,O100,P100,Q100,T100,U100,V100)/14*100,0))</f>
        <v/>
      </c>
    </row>
    <row r="101">
      <c r="X101" s="8">
        <f>IF(B101="","",ROUND(COUNTA(B101,D101,E101,J101,K101,L101,M101,N101,O101,P101,Q101,T101,U101,V101)/14*100,0))</f>
        <v/>
      </c>
    </row>
    <row r="102">
      <c r="X102" s="8">
        <f>IF(B102="","",ROUND(COUNTA(B102,D102,E102,J102,K102,L102,M102,N102,O102,P102,Q102,T102,U102,V102)/14*100,0))</f>
        <v/>
      </c>
    </row>
    <row r="103">
      <c r="X103" s="8">
        <f>IF(B103="","",ROUND(COUNTA(B103,D103,E103,J103,K103,L103,M103,N103,O103,P103,Q103,T103,U103,V103)/14*100,0))</f>
        <v/>
      </c>
    </row>
    <row r="104">
      <c r="X104" s="8">
        <f>IF(B104="","",ROUND(COUNTA(B104,D104,E104,J104,K104,L104,M104,N104,O104,P104,Q104,T104,U104,V104)/14*100,0))</f>
        <v/>
      </c>
    </row>
    <row r="105">
      <c r="X105" s="8">
        <f>IF(B105="","",ROUND(COUNTA(B105,D105,E105,J105,K105,L105,M105,N105,O105,P105,Q105,T105,U105,V105)/14*100,0))</f>
        <v/>
      </c>
    </row>
    <row r="106">
      <c r="X106" s="8">
        <f>IF(B106="","",ROUND(COUNTA(B106,D106,E106,J106,K106,L106,M106,N106,O106,P106,Q106,T106,U106,V106)/14*100,0))</f>
        <v/>
      </c>
    </row>
    <row r="107">
      <c r="X107" s="8">
        <f>IF(B107="","",ROUND(COUNTA(B107,D107,E107,J107,K107,L107,M107,N107,O107,P107,Q107,T107,U107,V107)/14*100,0))</f>
        <v/>
      </c>
    </row>
    <row r="108">
      <c r="X108" s="8">
        <f>IF(B108="","",ROUND(COUNTA(B108,D108,E108,J108,K108,L108,M108,N108,O108,P108,Q108,T108,U108,V108)/14*100,0))</f>
        <v/>
      </c>
    </row>
    <row r="109">
      <c r="X109" s="8">
        <f>IF(B109="","",ROUND(COUNTA(B109,D109,E109,J109,K109,L109,M109,N109,O109,P109,Q109,T109,U109,V109)/14*100,0))</f>
        <v/>
      </c>
    </row>
    <row r="110">
      <c r="X110" s="8">
        <f>IF(B110="","",ROUND(COUNTA(B110,D110,E110,J110,K110,L110,M110,N110,O110,P110,Q110,T110,U110,V110)/14*100,0))</f>
        <v/>
      </c>
    </row>
    <row r="111">
      <c r="X111" s="8">
        <f>IF(B111="","",ROUND(COUNTA(B111,D111,E111,J111,K111,L111,M111,N111,O111,P111,Q111,T111,U111,V111)/14*100,0))</f>
        <v/>
      </c>
    </row>
    <row r="112">
      <c r="X112" s="8">
        <f>IF(B112="","",ROUND(COUNTA(B112,D112,E112,J112,K112,L112,M112,N112,O112,P112,Q112,T112,U112,V112)/14*100,0))</f>
        <v/>
      </c>
    </row>
    <row r="113">
      <c r="X113" s="8">
        <f>IF(B113="","",ROUND(COUNTA(B113,D113,E113,J113,K113,L113,M113,N113,O113,P113,Q113,T113,U113,V113)/14*100,0))</f>
        <v/>
      </c>
    </row>
    <row r="114">
      <c r="X114" s="8">
        <f>IF(B114="","",ROUND(COUNTA(B114,D114,E114,J114,K114,L114,M114,N114,O114,P114,Q114,T114,U114,V114)/14*100,0))</f>
        <v/>
      </c>
    </row>
    <row r="115">
      <c r="X115" s="8">
        <f>IF(B115="","",ROUND(COUNTA(B115,D115,E115,J115,K115,L115,M115,N115,O115,P115,Q115,T115,U115,V115)/14*100,0))</f>
        <v/>
      </c>
    </row>
    <row r="116">
      <c r="X116" s="8">
        <f>IF(B116="","",ROUND(COUNTA(B116,D116,E116,J116,K116,L116,M116,N116,O116,P116,Q116,T116,U116,V116)/14*100,0))</f>
        <v/>
      </c>
    </row>
    <row r="117">
      <c r="X117" s="8">
        <f>IF(B117="","",ROUND(COUNTA(B117,D117,E117,J117,K117,L117,M117,N117,O117,P117,Q117,T117,U117,V117)/14*100,0))</f>
        <v/>
      </c>
    </row>
    <row r="118">
      <c r="X118" s="8">
        <f>IF(B118="","",ROUND(COUNTA(B118,D118,E118,J118,K118,L118,M118,N118,O118,P118,Q118,T118,U118,V118)/14*100,0))</f>
        <v/>
      </c>
    </row>
    <row r="119">
      <c r="X119" s="8">
        <f>IF(B119="","",ROUND(COUNTA(B119,D119,E119,J119,K119,L119,M119,N119,O119,P119,Q119,T119,U119,V119)/14*100,0))</f>
        <v/>
      </c>
    </row>
    <row r="120">
      <c r="X120" s="8">
        <f>IF(B120="","",ROUND(COUNTA(B120,D120,E120,J120,K120,L120,M120,N120,O120,P120,Q120,T120,U120,V120)/14*100,0))</f>
        <v/>
      </c>
    </row>
    <row r="121">
      <c r="X121" s="8">
        <f>IF(B121="","",ROUND(COUNTA(B121,D121,E121,J121,K121,L121,M121,N121,O121,P121,Q121,T121,U121,V121)/14*100,0))</f>
        <v/>
      </c>
    </row>
    <row r="122">
      <c r="X122" s="8">
        <f>IF(B122="","",ROUND(COUNTA(B122,D122,E122,J122,K122,L122,M122,N122,O122,P122,Q122,T122,U122,V122)/14*100,0))</f>
        <v/>
      </c>
    </row>
    <row r="123">
      <c r="X123" s="8">
        <f>IF(B123="","",ROUND(COUNTA(B123,D123,E123,J123,K123,L123,M123,N123,O123,P123,Q123,T123,U123,V123)/14*100,0))</f>
        <v/>
      </c>
    </row>
    <row r="124">
      <c r="X124" s="8">
        <f>IF(B124="","",ROUND(COUNTA(B124,D124,E124,J124,K124,L124,M124,N124,O124,P124,Q124,T124,U124,V124)/14*100,0))</f>
        <v/>
      </c>
    </row>
    <row r="125">
      <c r="X125" s="8">
        <f>IF(B125="","",ROUND(COUNTA(B125,D125,E125,J125,K125,L125,M125,N125,O125,P125,Q125,T125,U125,V125)/14*100,0))</f>
        <v/>
      </c>
    </row>
    <row r="126">
      <c r="X126" s="8">
        <f>IF(B126="","",ROUND(COUNTA(B126,D126,E126,J126,K126,L126,M126,N126,O126,P126,Q126,T126,U126,V126)/14*100,0))</f>
        <v/>
      </c>
    </row>
    <row r="127">
      <c r="X127" s="8">
        <f>IF(B127="","",ROUND(COUNTA(B127,D127,E127,J127,K127,L127,M127,N127,O127,P127,Q127,T127,U127,V127)/14*100,0))</f>
        <v/>
      </c>
    </row>
    <row r="128">
      <c r="X128" s="8">
        <f>IF(B128="","",ROUND(COUNTA(B128,D128,E128,J128,K128,L128,M128,N128,O128,P128,Q128,T128,U128,V128)/14*100,0))</f>
        <v/>
      </c>
    </row>
    <row r="129">
      <c r="X129" s="8">
        <f>IF(B129="","",ROUND(COUNTA(B129,D129,E129,J129,K129,L129,M129,N129,O129,P129,Q129,T129,U129,V129)/14*100,0))</f>
        <v/>
      </c>
    </row>
    <row r="130">
      <c r="X130" s="8">
        <f>IF(B130="","",ROUND(COUNTA(B130,D130,E130,J130,K130,L130,M130,N130,O130,P130,Q130,T130,U130,V130)/14*100,0))</f>
        <v/>
      </c>
    </row>
    <row r="131">
      <c r="X131" s="8">
        <f>IF(B131="","",ROUND(COUNTA(B131,D131,E131,J131,K131,L131,M131,N131,O131,P131,Q131,T131,U131,V131)/14*100,0))</f>
        <v/>
      </c>
    </row>
    <row r="132">
      <c r="X132" s="8">
        <f>IF(B132="","",ROUND(COUNTA(B132,D132,E132,J132,K132,L132,M132,N132,O132,P132,Q132,T132,U132,V132)/14*100,0))</f>
        <v/>
      </c>
    </row>
    <row r="133">
      <c r="X133" s="8">
        <f>IF(B133="","",ROUND(COUNTA(B133,D133,E133,J133,K133,L133,M133,N133,O133,P133,Q133,T133,U133,V133)/14*100,0))</f>
        <v/>
      </c>
    </row>
    <row r="134">
      <c r="X134" s="8">
        <f>IF(B134="","",ROUND(COUNTA(B134,D134,E134,J134,K134,L134,M134,N134,O134,P134,Q134,T134,U134,V134)/14*100,0))</f>
        <v/>
      </c>
    </row>
    <row r="135">
      <c r="X135" s="8">
        <f>IF(B135="","",ROUND(COUNTA(B135,D135,E135,J135,K135,L135,M135,N135,O135,P135,Q135,T135,U135,V135)/14*100,0))</f>
        <v/>
      </c>
    </row>
    <row r="136">
      <c r="X136" s="8">
        <f>IF(B136="","",ROUND(COUNTA(B136,D136,E136,J136,K136,L136,M136,N136,O136,P136,Q136,T136,U136,V136)/14*100,0))</f>
        <v/>
      </c>
    </row>
    <row r="137">
      <c r="X137" s="8">
        <f>IF(B137="","",ROUND(COUNTA(B137,D137,E137,J137,K137,L137,M137,N137,O137,P137,Q137,T137,U137,V137)/14*100,0))</f>
        <v/>
      </c>
    </row>
    <row r="138">
      <c r="X138" s="8">
        <f>IF(B138="","",ROUND(COUNTA(B138,D138,E138,J138,K138,L138,M138,N138,O138,P138,Q138,T138,U138,V138)/14*100,0))</f>
        <v/>
      </c>
    </row>
    <row r="139">
      <c r="X139" s="8">
        <f>IF(B139="","",ROUND(COUNTA(B139,D139,E139,J139,K139,L139,M139,N139,O139,P139,Q139,T139,U139,V139)/14*100,0))</f>
        <v/>
      </c>
    </row>
    <row r="140">
      <c r="X140" s="8">
        <f>IF(B140="","",ROUND(COUNTA(B140,D140,E140,J140,K140,L140,M140,N140,O140,P140,Q140,T140,U140,V140)/14*100,0))</f>
        <v/>
      </c>
    </row>
    <row r="141">
      <c r="X141" s="8">
        <f>IF(B141="","",ROUND(COUNTA(B141,D141,E141,J141,K141,L141,M141,N141,O141,P141,Q141,T141,U141,V141)/14*100,0))</f>
        <v/>
      </c>
    </row>
    <row r="142">
      <c r="X142" s="8">
        <f>IF(B142="","",ROUND(COUNTA(B142,D142,E142,J142,K142,L142,M142,N142,O142,P142,Q142,T142,U142,V142)/14*100,0))</f>
        <v/>
      </c>
    </row>
    <row r="143">
      <c r="X143" s="8">
        <f>IF(B143="","",ROUND(COUNTA(B143,D143,E143,J143,K143,L143,M143,N143,O143,P143,Q143,T143,U143,V143)/14*100,0))</f>
        <v/>
      </c>
    </row>
    <row r="144">
      <c r="X144" s="8">
        <f>IF(B144="","",ROUND(COUNTA(B144,D144,E144,J144,K144,L144,M144,N144,O144,P144,Q144,T144,U144,V144)/14*100,0))</f>
        <v/>
      </c>
    </row>
    <row r="145">
      <c r="X145" s="8">
        <f>IF(B145="","",ROUND(COUNTA(B145,D145,E145,J145,K145,L145,M145,N145,O145,P145,Q145,T145,U145,V145)/14*100,0))</f>
        <v/>
      </c>
    </row>
    <row r="146">
      <c r="X146" s="8">
        <f>IF(B146="","",ROUND(COUNTA(B146,D146,E146,J146,K146,L146,M146,N146,O146,P146,Q146,T146,U146,V146)/14*100,0))</f>
        <v/>
      </c>
    </row>
    <row r="147">
      <c r="X147" s="8">
        <f>IF(B147="","",ROUND(COUNTA(B147,D147,E147,J147,K147,L147,M147,N147,O147,P147,Q147,T147,U147,V147)/14*100,0))</f>
        <v/>
      </c>
    </row>
    <row r="148">
      <c r="X148" s="8">
        <f>IF(B148="","",ROUND(COUNTA(B148,D148,E148,J148,K148,L148,M148,N148,O148,P148,Q148,T148,U148,V148)/14*100,0))</f>
        <v/>
      </c>
    </row>
    <row r="149">
      <c r="X149" s="8">
        <f>IF(B149="","",ROUND(COUNTA(B149,D149,E149,J149,K149,L149,M149,N149,O149,P149,Q149,T149,U149,V149)/14*100,0))</f>
        <v/>
      </c>
    </row>
    <row r="150">
      <c r="X150" s="8">
        <f>IF(B150="","",ROUND(COUNTA(B150,D150,E150,J150,K150,L150,M150,N150,O150,P150,Q150,T150,U150,V150)/14*100,0))</f>
        <v/>
      </c>
    </row>
    <row r="151">
      <c r="X151" s="8">
        <f>IF(B151="","",ROUND(COUNTA(B151,D151,E151,J151,K151,L151,M151,N151,O151,P151,Q151,T151,U151,V151)/14*100,0))</f>
        <v/>
      </c>
    </row>
    <row r="152">
      <c r="X152" s="8">
        <f>IF(B152="","",ROUND(COUNTA(B152,D152,E152,J152,K152,L152,M152,N152,O152,P152,Q152,T152,U152,V152)/14*100,0))</f>
        <v/>
      </c>
    </row>
    <row r="153">
      <c r="X153" s="8">
        <f>IF(B153="","",ROUND(COUNTA(B153,D153,E153,J153,K153,L153,M153,N153,O153,P153,Q153,T153,U153,V153)/14*100,0))</f>
        <v/>
      </c>
    </row>
    <row r="154">
      <c r="X154" s="8">
        <f>IF(B154="","",ROUND(COUNTA(B154,D154,E154,J154,K154,L154,M154,N154,O154,P154,Q154,T154,U154,V154)/14*100,0))</f>
        <v/>
      </c>
    </row>
    <row r="155">
      <c r="X155" s="8">
        <f>IF(B155="","",ROUND(COUNTA(B155,D155,E155,J155,K155,L155,M155,N155,O155,P155,Q155,T155,U155,V155)/14*100,0))</f>
        <v/>
      </c>
    </row>
    <row r="156">
      <c r="X156" s="8">
        <f>IF(B156="","",ROUND(COUNTA(B156,D156,E156,J156,K156,L156,M156,N156,O156,P156,Q156,T156,U156,V156)/14*100,0))</f>
        <v/>
      </c>
    </row>
    <row r="157">
      <c r="X157" s="8">
        <f>IF(B157="","",ROUND(COUNTA(B157,D157,E157,J157,K157,L157,M157,N157,O157,P157,Q157,T157,U157,V157)/14*100,0))</f>
        <v/>
      </c>
    </row>
    <row r="158">
      <c r="X158" s="8">
        <f>IF(B158="","",ROUND(COUNTA(B158,D158,E158,J158,K158,L158,M158,N158,O158,P158,Q158,T158,U158,V158)/14*100,0))</f>
        <v/>
      </c>
    </row>
    <row r="159">
      <c r="X159" s="8">
        <f>IF(B159="","",ROUND(COUNTA(B159,D159,E159,J159,K159,L159,M159,N159,O159,P159,Q159,T159,U159,V159)/14*100,0))</f>
        <v/>
      </c>
    </row>
    <row r="160">
      <c r="X160" s="8">
        <f>IF(B160="","",ROUND(COUNTA(B160,D160,E160,J160,K160,L160,M160,N160,O160,P160,Q160,T160,U160,V160)/14*100,0))</f>
        <v/>
      </c>
    </row>
    <row r="161">
      <c r="X161" s="8">
        <f>IF(B161="","",ROUND(COUNTA(B161,D161,E161,J161,K161,L161,M161,N161,O161,P161,Q161,T161,U161,V161)/14*100,0))</f>
        <v/>
      </c>
    </row>
    <row r="162">
      <c r="X162" s="8">
        <f>IF(B162="","",ROUND(COUNTA(B162,D162,E162,J162,K162,L162,M162,N162,O162,P162,Q162,T162,U162,V162)/14*100,0))</f>
        <v/>
      </c>
    </row>
    <row r="163">
      <c r="X163" s="8">
        <f>IF(B163="","",ROUND(COUNTA(B163,D163,E163,J163,K163,L163,M163,N163,O163,P163,Q163,T163,U163,V163)/14*100,0))</f>
        <v/>
      </c>
    </row>
    <row r="164">
      <c r="X164" s="8">
        <f>IF(B164="","",ROUND(COUNTA(B164,D164,E164,J164,K164,L164,M164,N164,O164,P164,Q164,T164,U164,V164)/14*100,0))</f>
        <v/>
      </c>
    </row>
    <row r="165">
      <c r="X165" s="8">
        <f>IF(B165="","",ROUND(COUNTA(B165,D165,E165,J165,K165,L165,M165,N165,O165,P165,Q165,T165,U165,V165)/14*100,0))</f>
        <v/>
      </c>
    </row>
    <row r="166">
      <c r="X166" s="8">
        <f>IF(B166="","",ROUND(COUNTA(B166,D166,E166,J166,K166,L166,M166,N166,O166,P166,Q166,T166,U166,V166)/14*100,0))</f>
        <v/>
      </c>
    </row>
    <row r="167">
      <c r="X167" s="8">
        <f>IF(B167="","",ROUND(COUNTA(B167,D167,E167,J167,K167,L167,M167,N167,O167,P167,Q167,T167,U167,V167)/14*100,0))</f>
        <v/>
      </c>
    </row>
    <row r="168">
      <c r="X168" s="8">
        <f>IF(B168="","",ROUND(COUNTA(B168,D168,E168,J168,K168,L168,M168,N168,O168,P168,Q168,T168,U168,V168)/14*100,0))</f>
        <v/>
      </c>
    </row>
    <row r="169">
      <c r="X169" s="8">
        <f>IF(B169="","",ROUND(COUNTA(B169,D169,E169,J169,K169,L169,M169,N169,O169,P169,Q169,T169,U169,V169)/14*100,0))</f>
        <v/>
      </c>
    </row>
    <row r="170">
      <c r="X170" s="8">
        <f>IF(B170="","",ROUND(COUNTA(B170,D170,E170,J170,K170,L170,M170,N170,O170,P170,Q170,T170,U170,V170)/14*100,0))</f>
        <v/>
      </c>
    </row>
    <row r="171">
      <c r="X171" s="8">
        <f>IF(B171="","",ROUND(COUNTA(B171,D171,E171,J171,K171,L171,M171,N171,O171,P171,Q171,T171,U171,V171)/14*100,0))</f>
        <v/>
      </c>
    </row>
    <row r="172">
      <c r="X172" s="8">
        <f>IF(B172="","",ROUND(COUNTA(B172,D172,E172,J172,K172,L172,M172,N172,O172,P172,Q172,T172,U172,V172)/14*100,0))</f>
        <v/>
      </c>
    </row>
    <row r="173">
      <c r="X173" s="8">
        <f>IF(B173="","",ROUND(COUNTA(B173,D173,E173,J173,K173,L173,M173,N173,O173,P173,Q173,T173,U173,V173)/14*100,0))</f>
        <v/>
      </c>
    </row>
    <row r="174">
      <c r="X174" s="8">
        <f>IF(B174="","",ROUND(COUNTA(B174,D174,E174,J174,K174,L174,M174,N174,O174,P174,Q174,T174,U174,V174)/14*100,0))</f>
        <v/>
      </c>
    </row>
    <row r="175">
      <c r="X175" s="8">
        <f>IF(B175="","",ROUND(COUNTA(B175,D175,E175,J175,K175,L175,M175,N175,O175,P175,Q175,T175,U175,V175)/14*100,0))</f>
        <v/>
      </c>
    </row>
    <row r="176">
      <c r="X176" s="8">
        <f>IF(B176="","",ROUND(COUNTA(B176,D176,E176,J176,K176,L176,M176,N176,O176,P176,Q176,T176,U176,V176)/14*100,0))</f>
        <v/>
      </c>
    </row>
    <row r="177">
      <c r="X177" s="8">
        <f>IF(B177="","",ROUND(COUNTA(B177,D177,E177,J177,K177,L177,M177,N177,O177,P177,Q177,T177,U177,V177)/14*100,0))</f>
        <v/>
      </c>
    </row>
    <row r="178">
      <c r="X178" s="8">
        <f>IF(B178="","",ROUND(COUNTA(B178,D178,E178,J178,K178,L178,M178,N178,O178,P178,Q178,T178,U178,V178)/14*100,0))</f>
        <v/>
      </c>
    </row>
    <row r="179">
      <c r="X179" s="8">
        <f>IF(B179="","",ROUND(COUNTA(B179,D179,E179,J179,K179,L179,M179,N179,O179,P179,Q179,T179,U179,V179)/14*100,0))</f>
        <v/>
      </c>
    </row>
    <row r="180">
      <c r="X180" s="8">
        <f>IF(B180="","",ROUND(COUNTA(B180,D180,E180,J180,K180,L180,M180,N180,O180,P180,Q180,T180,U180,V180)/14*100,0))</f>
        <v/>
      </c>
    </row>
    <row r="181">
      <c r="X181" s="8">
        <f>IF(B181="","",ROUND(COUNTA(B181,D181,E181,J181,K181,L181,M181,N181,O181,P181,Q181,T181,U181,V181)/14*100,0))</f>
        <v/>
      </c>
    </row>
    <row r="182">
      <c r="X182" s="8">
        <f>IF(B182="","",ROUND(COUNTA(B182,D182,E182,J182,K182,L182,M182,N182,O182,P182,Q182,T182,U182,V182)/14*100,0))</f>
        <v/>
      </c>
    </row>
    <row r="183">
      <c r="X183" s="8">
        <f>IF(B183="","",ROUND(COUNTA(B183,D183,E183,J183,K183,L183,M183,N183,O183,P183,Q183,T183,U183,V183)/14*100,0))</f>
        <v/>
      </c>
    </row>
    <row r="184">
      <c r="X184" s="8">
        <f>IF(B184="","",ROUND(COUNTA(B184,D184,E184,J184,K184,L184,M184,N184,O184,P184,Q184,T184,U184,V184)/14*100,0))</f>
        <v/>
      </c>
    </row>
    <row r="185">
      <c r="X185" s="8">
        <f>IF(B185="","",ROUND(COUNTA(B185,D185,E185,J185,K185,L185,M185,N185,O185,P185,Q185,T185,U185,V185)/14*100,0))</f>
        <v/>
      </c>
    </row>
    <row r="186">
      <c r="X186" s="8">
        <f>IF(B186="","",ROUND(COUNTA(B186,D186,E186,J186,K186,L186,M186,N186,O186,P186,Q186,T186,U186,V186)/14*100,0))</f>
        <v/>
      </c>
    </row>
    <row r="187">
      <c r="X187" s="8">
        <f>IF(B187="","",ROUND(COUNTA(B187,D187,E187,J187,K187,L187,M187,N187,O187,P187,Q187,T187,U187,V187)/14*100,0))</f>
        <v/>
      </c>
    </row>
    <row r="188">
      <c r="X188" s="8">
        <f>IF(B188="","",ROUND(COUNTA(B188,D188,E188,J188,K188,L188,M188,N188,O188,P188,Q188,T188,U188,V188)/14*100,0))</f>
        <v/>
      </c>
    </row>
    <row r="189">
      <c r="X189" s="8">
        <f>IF(B189="","",ROUND(COUNTA(B189,D189,E189,J189,K189,L189,M189,N189,O189,P189,Q189,T189,U189,V189)/14*100,0))</f>
        <v/>
      </c>
    </row>
    <row r="190">
      <c r="X190" s="8">
        <f>IF(B190="","",ROUND(COUNTA(B190,D190,E190,J190,K190,L190,M190,N190,O190,P190,Q190,T190,U190,V190)/14*100,0))</f>
        <v/>
      </c>
    </row>
    <row r="191">
      <c r="X191" s="8">
        <f>IF(B191="","",ROUND(COUNTA(B191,D191,E191,J191,K191,L191,M191,N191,O191,P191,Q191,T191,U191,V191)/14*100,0))</f>
        <v/>
      </c>
    </row>
    <row r="192">
      <c r="X192" s="8">
        <f>IF(B192="","",ROUND(COUNTA(B192,D192,E192,J192,K192,L192,M192,N192,O192,P192,Q192,T192,U192,V192)/14*100,0))</f>
        <v/>
      </c>
    </row>
    <row r="193">
      <c r="X193" s="8">
        <f>IF(B193="","",ROUND(COUNTA(B193,D193,E193,J193,K193,L193,M193,N193,O193,P193,Q193,T193,U193,V193)/14*100,0))</f>
        <v/>
      </c>
    </row>
    <row r="194">
      <c r="X194" s="8">
        <f>IF(B194="","",ROUND(COUNTA(B194,D194,E194,J194,K194,L194,M194,N194,O194,P194,Q194,T194,U194,V194)/14*100,0))</f>
        <v/>
      </c>
    </row>
    <row r="195">
      <c r="X195" s="8">
        <f>IF(B195="","",ROUND(COUNTA(B195,D195,E195,J195,K195,L195,M195,N195,O195,P195,Q195,T195,U195,V195)/14*100,0))</f>
        <v/>
      </c>
    </row>
    <row r="196">
      <c r="X196" s="8">
        <f>IF(B196="","",ROUND(COUNTA(B196,D196,E196,J196,K196,L196,M196,N196,O196,P196,Q196,T196,U196,V196)/14*100,0))</f>
        <v/>
      </c>
    </row>
    <row r="197">
      <c r="X197" s="8">
        <f>IF(B197="","",ROUND(COUNTA(B197,D197,E197,J197,K197,L197,M197,N197,O197,P197,Q197,T197,U197,V197)/14*100,0))</f>
        <v/>
      </c>
    </row>
    <row r="198">
      <c r="X198" s="8">
        <f>IF(B198="","",ROUND(COUNTA(B198,D198,E198,J198,K198,L198,M198,N198,O198,P198,Q198,T198,U198,V198)/14*100,0))</f>
        <v/>
      </c>
    </row>
    <row r="199">
      <c r="X199" s="8">
        <f>IF(B199="","",ROUND(COUNTA(B199,D199,E199,J199,K199,L199,M199,N199,O199,P199,Q199,T199,U199,V199)/14*100,0))</f>
        <v/>
      </c>
    </row>
    <row r="200">
      <c r="X200" s="8">
        <f>IF(B200="","",ROUND(COUNTA(B200,D200,E200,J200,K200,L200,M200,N200,O200,P200,Q200,T200,U200,V200)/14*100,0))</f>
        <v/>
      </c>
    </row>
    <row r="201">
      <c r="X201" s="8">
        <f>IF(B201="","",ROUND(COUNTA(B201,D201,E201,J201,K201,L201,M201,N201,O201,P201,Q201,T201,U201,V201)/14*100,0))</f>
        <v/>
      </c>
    </row>
    <row r="202">
      <c r="X202" s="8">
        <f>IF(B202="","",ROUND(COUNTA(B202,D202,E202,J202,K202,L202,M202,N202,O202,P202,Q202,T202,U202,V202)/14*100,0))</f>
        <v/>
      </c>
    </row>
    <row r="203">
      <c r="X203" s="8">
        <f>IF(B203="","",ROUND(COUNTA(B203,D203,E203,J203,K203,L203,M203,N203,O203,P203,Q203,T203,U203,V203)/14*100,0))</f>
        <v/>
      </c>
    </row>
    <row r="204">
      <c r="X204" s="8">
        <f>IF(B204="","",ROUND(COUNTA(B204,D204,E204,J204,K204,L204,M204,N204,O204,P204,Q204,T204,U204,V204)/14*100,0))</f>
        <v/>
      </c>
    </row>
    <row r="205">
      <c r="X205" s="8">
        <f>IF(B205="","",ROUND(COUNTA(B205,D205,E205,J205,K205,L205,M205,N205,O205,P205,Q205,T205,U205,V205)/14*100,0))</f>
        <v/>
      </c>
    </row>
    <row r="206">
      <c r="X206" s="8">
        <f>IF(B206="","",ROUND(COUNTA(B206,D206,E206,J206,K206,L206,M206,N206,O206,P206,Q206,T206,U206,V206)/14*100,0))</f>
        <v/>
      </c>
    </row>
    <row r="207">
      <c r="X207" s="8">
        <f>IF(B207="","",ROUND(COUNTA(B207,D207,E207,J207,K207,L207,M207,N207,O207,P207,Q207,T207,U207,V207)/14*100,0))</f>
        <v/>
      </c>
    </row>
    <row r="208">
      <c r="X208" s="8">
        <f>IF(B208="","",ROUND(COUNTA(B208,D208,E208,J208,K208,L208,M208,N208,O208,P208,Q208,T208,U208,V208)/14*100,0))</f>
        <v/>
      </c>
    </row>
    <row r="209">
      <c r="X209" s="8">
        <f>IF(B209="","",ROUND(COUNTA(B209,D209,E209,J209,K209,L209,M209,N209,O209,P209,Q209,T209,U209,V209)/14*100,0))</f>
        <v/>
      </c>
    </row>
    <row r="210">
      <c r="X210" s="8">
        <f>IF(B210="","",ROUND(COUNTA(B210,D210,E210,J210,K210,L210,M210,N210,O210,P210,Q210,T210,U210,V210)/14*100,0))</f>
        <v/>
      </c>
    </row>
    <row r="211">
      <c r="X211" s="8">
        <f>IF(B211="","",ROUND(COUNTA(B211,D211,E211,J211,K211,L211,M211,N211,O211,P211,Q211,T211,U211,V211)/14*100,0))</f>
        <v/>
      </c>
    </row>
    <row r="212">
      <c r="X212" s="8">
        <f>IF(B212="","",ROUND(COUNTA(B212,D212,E212,J212,K212,L212,M212,N212,O212,P212,Q212,T212,U212,V212)/14*100,0))</f>
        <v/>
      </c>
    </row>
    <row r="213">
      <c r="X213" s="8">
        <f>IF(B213="","",ROUND(COUNTA(B213,D213,E213,J213,K213,L213,M213,N213,O213,P213,Q213,T213,U213,V213)/14*100,0))</f>
        <v/>
      </c>
    </row>
    <row r="214">
      <c r="X214" s="8">
        <f>IF(B214="","",ROUND(COUNTA(B214,D214,E214,J214,K214,L214,M214,N214,O214,P214,Q214,T214,U214,V214)/14*100,0))</f>
        <v/>
      </c>
    </row>
    <row r="215">
      <c r="X215" s="8">
        <f>IF(B215="","",ROUND(COUNTA(B215,D215,E215,J215,K215,L215,M215,N215,O215,P215,Q215,T215,U215,V215)/14*100,0))</f>
        <v/>
      </c>
    </row>
    <row r="216">
      <c r="X216" s="8">
        <f>IF(B216="","",ROUND(COUNTA(B216,D216,E216,J216,K216,L216,M216,N216,O216,P216,Q216,T216,U216,V216)/14*100,0))</f>
        <v/>
      </c>
    </row>
    <row r="217">
      <c r="X217" s="8">
        <f>IF(B217="","",ROUND(COUNTA(B217,D217,E217,J217,K217,L217,M217,N217,O217,P217,Q217,T217,U217,V217)/14*100,0))</f>
        <v/>
      </c>
    </row>
    <row r="218">
      <c r="X218" s="8">
        <f>IF(B218="","",ROUND(COUNTA(B218,D218,E218,J218,K218,L218,M218,N218,O218,P218,Q218,T218,U218,V218)/14*100,0))</f>
        <v/>
      </c>
    </row>
    <row r="219">
      <c r="X219" s="8">
        <f>IF(B219="","",ROUND(COUNTA(B219,D219,E219,J219,K219,L219,M219,N219,O219,P219,Q219,T219,U219,V219)/14*100,0))</f>
        <v/>
      </c>
    </row>
    <row r="220">
      <c r="X220" s="8">
        <f>IF(B220="","",ROUND(COUNTA(B220,D220,E220,J220,K220,L220,M220,N220,O220,P220,Q220,T220,U220,V220)/14*100,0))</f>
        <v/>
      </c>
    </row>
    <row r="221">
      <c r="X221" s="8">
        <f>IF(B221="","",ROUND(COUNTA(B221,D221,E221,J221,K221,L221,M221,N221,O221,P221,Q221,T221,U221,V221)/14*100,0))</f>
        <v/>
      </c>
    </row>
    <row r="222">
      <c r="X222" s="8">
        <f>IF(B222="","",ROUND(COUNTA(B222,D222,E222,J222,K222,L222,M222,N222,O222,P222,Q222,T222,U222,V222)/14*100,0))</f>
        <v/>
      </c>
    </row>
    <row r="223">
      <c r="X223" s="8">
        <f>IF(B223="","",ROUND(COUNTA(B223,D223,E223,J223,K223,L223,M223,N223,O223,P223,Q223,T223,U223,V223)/14*100,0))</f>
        <v/>
      </c>
    </row>
    <row r="224">
      <c r="X224" s="8">
        <f>IF(B224="","",ROUND(COUNTA(B224,D224,E224,J224,K224,L224,M224,N224,O224,P224,Q224,T224,U224,V224)/14*100,0))</f>
        <v/>
      </c>
    </row>
    <row r="225">
      <c r="X225" s="8">
        <f>IF(B225="","",ROUND(COUNTA(B225,D225,E225,J225,K225,L225,M225,N225,O225,P225,Q225,T225,U225,V225)/14*100,0))</f>
        <v/>
      </c>
    </row>
    <row r="226">
      <c r="X226" s="8">
        <f>IF(B226="","",ROUND(COUNTA(B226,D226,E226,J226,K226,L226,M226,N226,O226,P226,Q226,T226,U226,V226)/14*100,0))</f>
        <v/>
      </c>
    </row>
    <row r="227">
      <c r="X227" s="8">
        <f>IF(B227="","",ROUND(COUNTA(B227,D227,E227,J227,K227,L227,M227,N227,O227,P227,Q227,T227,U227,V227)/14*100,0))</f>
        <v/>
      </c>
    </row>
    <row r="228">
      <c r="X228" s="8">
        <f>IF(B228="","",ROUND(COUNTA(B228,D228,E228,J228,K228,L228,M228,N228,O228,P228,Q228,T228,U228,V228)/14*100,0))</f>
        <v/>
      </c>
    </row>
    <row r="229">
      <c r="X229" s="8">
        <f>IF(B229="","",ROUND(COUNTA(B229,D229,E229,J229,K229,L229,M229,N229,O229,P229,Q229,T229,U229,V229)/14*100,0))</f>
        <v/>
      </c>
    </row>
    <row r="230">
      <c r="X230" s="8">
        <f>IF(B230="","",ROUND(COUNTA(B230,D230,E230,J230,K230,L230,M230,N230,O230,P230,Q230,T230,U230,V230)/14*100,0))</f>
        <v/>
      </c>
    </row>
    <row r="231">
      <c r="X231" s="8">
        <f>IF(B231="","",ROUND(COUNTA(B231,D231,E231,J231,K231,L231,M231,N231,O231,P231,Q231,T231,U231,V231)/14*100,0))</f>
        <v/>
      </c>
    </row>
    <row r="232">
      <c r="X232" s="8">
        <f>IF(B232="","",ROUND(COUNTA(B232,D232,E232,J232,K232,L232,M232,N232,O232,P232,Q232,T232,U232,V232)/14*100,0))</f>
        <v/>
      </c>
    </row>
    <row r="233">
      <c r="X233" s="8">
        <f>IF(B233="","",ROUND(COUNTA(B233,D233,E233,J233,K233,L233,M233,N233,O233,P233,Q233,T233,U233,V233)/14*100,0))</f>
        <v/>
      </c>
    </row>
    <row r="234">
      <c r="X234" s="8">
        <f>IF(B234="","",ROUND(COUNTA(B234,D234,E234,J234,K234,L234,M234,N234,O234,P234,Q234,T234,U234,V234)/14*100,0))</f>
        <v/>
      </c>
    </row>
    <row r="235">
      <c r="X235" s="8">
        <f>IF(B235="","",ROUND(COUNTA(B235,D235,E235,J235,K235,L235,M235,N235,O235,P235,Q235,T235,U235,V235)/14*100,0))</f>
        <v/>
      </c>
    </row>
    <row r="236">
      <c r="X236" s="8">
        <f>IF(B236="","",ROUND(COUNTA(B236,D236,E236,J236,K236,L236,M236,N236,O236,P236,Q236,T236,U236,V236)/14*100,0))</f>
        <v/>
      </c>
    </row>
    <row r="237">
      <c r="X237" s="8">
        <f>IF(B237="","",ROUND(COUNTA(B237,D237,E237,J237,K237,L237,M237,N237,O237,P237,Q237,T237,U237,V237)/14*100,0))</f>
        <v/>
      </c>
    </row>
    <row r="238">
      <c r="X238" s="8">
        <f>IF(B238="","",ROUND(COUNTA(B238,D238,E238,J238,K238,L238,M238,N238,O238,P238,Q238,T238,U238,V238)/14*100,0))</f>
        <v/>
      </c>
    </row>
    <row r="239">
      <c r="X239" s="8">
        <f>IF(B239="","",ROUND(COUNTA(B239,D239,E239,J239,K239,L239,M239,N239,O239,P239,Q239,T239,U239,V239)/14*100,0))</f>
        <v/>
      </c>
    </row>
    <row r="240">
      <c r="X240" s="8">
        <f>IF(B240="","",ROUND(COUNTA(B240,D240,E240,J240,K240,L240,M240,N240,O240,P240,Q240,T240,U240,V240)/14*100,0))</f>
        <v/>
      </c>
    </row>
    <row r="241">
      <c r="X241" s="8">
        <f>IF(B241="","",ROUND(COUNTA(B241,D241,E241,J241,K241,L241,M241,N241,O241,P241,Q241,T241,U241,V241)/14*100,0))</f>
        <v/>
      </c>
    </row>
    <row r="242">
      <c r="X242" s="8">
        <f>IF(B242="","",ROUND(COUNTA(B242,D242,E242,J242,K242,L242,M242,N242,O242,P242,Q242,T242,U242,V242)/14*100,0))</f>
        <v/>
      </c>
    </row>
    <row r="243">
      <c r="X243" s="8">
        <f>IF(B243="","",ROUND(COUNTA(B243,D243,E243,J243,K243,L243,M243,N243,O243,P243,Q243,T243,U243,V243)/14*100,0))</f>
        <v/>
      </c>
    </row>
    <row r="244">
      <c r="X244" s="8">
        <f>IF(B244="","",ROUND(COUNTA(B244,D244,E244,J244,K244,L244,M244,N244,O244,P244,Q244,T244,U244,V244)/14*100,0))</f>
        <v/>
      </c>
    </row>
    <row r="245">
      <c r="X245" s="8">
        <f>IF(B245="","",ROUND(COUNTA(B245,D245,E245,J245,K245,L245,M245,N245,O245,P245,Q245,T245,U245,V245)/14*100,0))</f>
        <v/>
      </c>
    </row>
    <row r="246">
      <c r="X246" s="8">
        <f>IF(B246="","",ROUND(COUNTA(B246,D246,E246,J246,K246,L246,M246,N246,O246,P246,Q246,T246,U246,V246)/14*100,0))</f>
        <v/>
      </c>
    </row>
    <row r="247">
      <c r="X247" s="8">
        <f>IF(B247="","",ROUND(COUNTA(B247,D247,E247,J247,K247,L247,M247,N247,O247,P247,Q247,T247,U247,V247)/14*100,0))</f>
        <v/>
      </c>
    </row>
    <row r="248">
      <c r="X248" s="8">
        <f>IF(B248="","",ROUND(COUNTA(B248,D248,E248,J248,K248,L248,M248,N248,O248,P248,Q248,T248,U248,V248)/14*100,0))</f>
        <v/>
      </c>
    </row>
    <row r="249">
      <c r="X249" s="8">
        <f>IF(B249="","",ROUND(COUNTA(B249,D249,E249,J249,K249,L249,M249,N249,O249,P249,Q249,T249,U249,V249)/14*100,0))</f>
        <v/>
      </c>
    </row>
    <row r="250">
      <c r="X250" s="8">
        <f>IF(B250="","",ROUND(COUNTA(B250,D250,E250,J250,K250,L250,M250,N250,O250,P250,Q250,T250,U250,V250)/14*100,0))</f>
        <v/>
      </c>
    </row>
    <row r="251">
      <c r="X251" s="8">
        <f>IF(B251="","",ROUND(COUNTA(B251,D251,E251,J251,K251,L251,M251,N251,O251,P251,Q251,T251,U251,V251)/14*100,0))</f>
        <v/>
      </c>
    </row>
    <row r="252">
      <c r="X252" s="8">
        <f>IF(B252="","",ROUND(COUNTA(B252,D252,E252,J252,K252,L252,M252,N252,O252,P252,Q252,T252,U252,V252)/14*100,0))</f>
        <v/>
      </c>
    </row>
    <row r="253">
      <c r="X253" s="8">
        <f>IF(B253="","",ROUND(COUNTA(B253,D253,E253,J253,K253,L253,M253,N253,O253,P253,Q253,T253,U253,V253)/14*100,0))</f>
        <v/>
      </c>
    </row>
    <row r="254">
      <c r="X254" s="8">
        <f>IF(B254="","",ROUND(COUNTA(B254,D254,E254,J254,K254,L254,M254,N254,O254,P254,Q254,T254,U254,V254)/14*100,0))</f>
        <v/>
      </c>
    </row>
    <row r="255">
      <c r="X255" s="8">
        <f>IF(B255="","",ROUND(COUNTA(B255,D255,E255,J255,K255,L255,M255,N255,O255,P255,Q255,T255,U255,V255)/14*100,0))</f>
        <v/>
      </c>
    </row>
    <row r="256">
      <c r="X256" s="8">
        <f>IF(B256="","",ROUND(COUNTA(B256,D256,E256,J256,K256,L256,M256,N256,O256,P256,Q256,T256,U256,V256)/14*100,0))</f>
        <v/>
      </c>
    </row>
    <row r="257">
      <c r="X257" s="8">
        <f>IF(B257="","",ROUND(COUNTA(B257,D257,E257,J257,K257,L257,M257,N257,O257,P257,Q257,T257,U257,V257)/14*100,0))</f>
        <v/>
      </c>
    </row>
    <row r="258">
      <c r="X258" s="8">
        <f>IF(B258="","",ROUND(COUNTA(B258,D258,E258,J258,K258,L258,M258,N258,O258,P258,Q258,T258,U258,V258)/14*100,0))</f>
        <v/>
      </c>
    </row>
    <row r="259">
      <c r="X259" s="8">
        <f>IF(B259="","",ROUND(COUNTA(B259,D259,E259,J259,K259,L259,M259,N259,O259,P259,Q259,T259,U259,V259)/14*100,0))</f>
        <v/>
      </c>
    </row>
    <row r="260">
      <c r="X260" s="8">
        <f>IF(B260="","",ROUND(COUNTA(B260,D260,E260,J260,K260,L260,M260,N260,O260,P260,Q260,T260,U260,V260)/14*100,0))</f>
        <v/>
      </c>
    </row>
    <row r="261">
      <c r="X261" s="8">
        <f>IF(B261="","",ROUND(COUNTA(B261,D261,E261,J261,K261,L261,M261,N261,O261,P261,Q261,T261,U261,V261)/14*100,0))</f>
        <v/>
      </c>
    </row>
    <row r="262">
      <c r="X262" s="8">
        <f>IF(B262="","",ROUND(COUNTA(B262,D262,E262,J262,K262,L262,M262,N262,O262,P262,Q262,T262,U262,V262)/14*100,0))</f>
        <v/>
      </c>
    </row>
    <row r="263">
      <c r="X263" s="8">
        <f>IF(B263="","",ROUND(COUNTA(B263,D263,E263,J263,K263,L263,M263,N263,O263,P263,Q263,T263,U263,V263)/14*100,0))</f>
        <v/>
      </c>
    </row>
    <row r="264">
      <c r="X264" s="8">
        <f>IF(B264="","",ROUND(COUNTA(B264,D264,E264,J264,K264,L264,M264,N264,O264,P264,Q264,T264,U264,V264)/14*100,0))</f>
        <v/>
      </c>
    </row>
    <row r="265">
      <c r="X265" s="8">
        <f>IF(B265="","",ROUND(COUNTA(B265,D265,E265,J265,K265,L265,M265,N265,O265,P265,Q265,T265,U265,V265)/14*100,0))</f>
        <v/>
      </c>
    </row>
    <row r="266">
      <c r="X266" s="8">
        <f>IF(B266="","",ROUND(COUNTA(B266,D266,E266,J266,K266,L266,M266,N266,O266,P266,Q266,T266,U266,V266)/14*100,0))</f>
        <v/>
      </c>
    </row>
    <row r="267">
      <c r="X267" s="8">
        <f>IF(B267="","",ROUND(COUNTA(B267,D267,E267,J267,K267,L267,M267,N267,O267,P267,Q267,T267,U267,V267)/14*100,0))</f>
        <v/>
      </c>
    </row>
    <row r="268">
      <c r="X268" s="8">
        <f>IF(B268="","",ROUND(COUNTA(B268,D268,E268,J268,K268,L268,M268,N268,O268,P268,Q268,T268,U268,V268)/14*100,0))</f>
        <v/>
      </c>
    </row>
    <row r="269">
      <c r="X269" s="8">
        <f>IF(B269="","",ROUND(COUNTA(B269,D269,E269,J269,K269,L269,M269,N269,O269,P269,Q269,T269,U269,V269)/14*100,0))</f>
        <v/>
      </c>
    </row>
    <row r="270">
      <c r="X270" s="8">
        <f>IF(B270="","",ROUND(COUNTA(B270,D270,E270,J270,K270,L270,M270,N270,O270,P270,Q270,T270,U270,V270)/14*100,0))</f>
        <v/>
      </c>
    </row>
    <row r="271">
      <c r="X271" s="8">
        <f>IF(B271="","",ROUND(COUNTA(B271,D271,E271,J271,K271,L271,M271,N271,O271,P271,Q271,T271,U271,V271)/14*100,0))</f>
        <v/>
      </c>
    </row>
    <row r="272">
      <c r="X272" s="8">
        <f>IF(B272="","",ROUND(COUNTA(B272,D272,E272,J272,K272,L272,M272,N272,O272,P272,Q272,T272,U272,V272)/14*100,0))</f>
        <v/>
      </c>
    </row>
    <row r="273">
      <c r="X273" s="8">
        <f>IF(B273="","",ROUND(COUNTA(B273,D273,E273,J273,K273,L273,M273,N273,O273,P273,Q273,T273,U273,V273)/14*100,0))</f>
        <v/>
      </c>
    </row>
    <row r="274">
      <c r="X274" s="8">
        <f>IF(B274="","",ROUND(COUNTA(B274,D274,E274,J274,K274,L274,M274,N274,O274,P274,Q274,T274,U274,V274)/14*100,0))</f>
        <v/>
      </c>
    </row>
    <row r="275">
      <c r="X275" s="8">
        <f>IF(B275="","",ROUND(COUNTA(B275,D275,E275,J275,K275,L275,M275,N275,O275,P275,Q275,T275,U275,V275)/14*100,0))</f>
        <v/>
      </c>
    </row>
    <row r="276">
      <c r="X276" s="8">
        <f>IF(B276="","",ROUND(COUNTA(B276,D276,E276,J276,K276,L276,M276,N276,O276,P276,Q276,T276,U276,V276)/14*100,0))</f>
        <v/>
      </c>
    </row>
    <row r="277">
      <c r="X277" s="8">
        <f>IF(B277="","",ROUND(COUNTA(B277,D277,E277,J277,K277,L277,M277,N277,O277,P277,Q277,T277,U277,V277)/14*100,0))</f>
        <v/>
      </c>
    </row>
    <row r="278">
      <c r="X278" s="8">
        <f>IF(B278="","",ROUND(COUNTA(B278,D278,E278,J278,K278,L278,M278,N278,O278,P278,Q278,T278,U278,V278)/14*100,0))</f>
        <v/>
      </c>
    </row>
    <row r="279">
      <c r="X279" s="8">
        <f>IF(B279="","",ROUND(COUNTA(B279,D279,E279,J279,K279,L279,M279,N279,O279,P279,Q279,T279,U279,V279)/14*100,0))</f>
        <v/>
      </c>
    </row>
    <row r="280">
      <c r="X280" s="8">
        <f>IF(B280="","",ROUND(COUNTA(B280,D280,E280,J280,K280,L280,M280,N280,O280,P280,Q280,T280,U280,V280)/14*100,0))</f>
        <v/>
      </c>
    </row>
    <row r="281">
      <c r="X281" s="8">
        <f>IF(B281="","",ROUND(COUNTA(B281,D281,E281,J281,K281,L281,M281,N281,O281,P281,Q281,T281,U281,V281)/14*100,0))</f>
        <v/>
      </c>
    </row>
    <row r="282">
      <c r="X282" s="8">
        <f>IF(B282="","",ROUND(COUNTA(B282,D282,E282,J282,K282,L282,M282,N282,O282,P282,Q282,T282,U282,V282)/14*100,0))</f>
        <v/>
      </c>
    </row>
    <row r="283">
      <c r="X283" s="8">
        <f>IF(B283="","",ROUND(COUNTA(B283,D283,E283,J283,K283,L283,M283,N283,O283,P283,Q283,T283,U283,V283)/14*100,0))</f>
        <v/>
      </c>
    </row>
    <row r="284">
      <c r="X284" s="8">
        <f>IF(B284="","",ROUND(COUNTA(B284,D284,E284,J284,K284,L284,M284,N284,O284,P284,Q284,T284,U284,V284)/14*100,0))</f>
        <v/>
      </c>
    </row>
    <row r="285">
      <c r="X285" s="8">
        <f>IF(B285="","",ROUND(COUNTA(B285,D285,E285,J285,K285,L285,M285,N285,O285,P285,Q285,T285,U285,V285)/14*100,0))</f>
        <v/>
      </c>
    </row>
    <row r="286">
      <c r="X286" s="8">
        <f>IF(B286="","",ROUND(COUNTA(B286,D286,E286,J286,K286,L286,M286,N286,O286,P286,Q286,T286,U286,V286)/14*100,0))</f>
        <v/>
      </c>
    </row>
    <row r="287">
      <c r="X287" s="8">
        <f>IF(B287="","",ROUND(COUNTA(B287,D287,E287,J287,K287,L287,M287,N287,O287,P287,Q287,T287,U287,V287)/14*100,0))</f>
        <v/>
      </c>
    </row>
    <row r="288">
      <c r="X288" s="8">
        <f>IF(B288="","",ROUND(COUNTA(B288,D288,E288,J288,K288,L288,M288,N288,O288,P288,Q288,T288,U288,V288)/14*100,0))</f>
        <v/>
      </c>
    </row>
    <row r="289">
      <c r="X289" s="8">
        <f>IF(B289="","",ROUND(COUNTA(B289,D289,E289,J289,K289,L289,M289,N289,O289,P289,Q289,T289,U289,V289)/14*100,0))</f>
        <v/>
      </c>
    </row>
    <row r="290">
      <c r="X290" s="8">
        <f>IF(B290="","",ROUND(COUNTA(B290,D290,E290,J290,K290,L290,M290,N290,O290,P290,Q290,T290,U290,V290)/14*100,0))</f>
        <v/>
      </c>
    </row>
    <row r="291">
      <c r="X291" s="8">
        <f>IF(B291="","",ROUND(COUNTA(B291,D291,E291,J291,K291,L291,M291,N291,O291,P291,Q291,T291,U291,V291)/14*100,0))</f>
        <v/>
      </c>
    </row>
    <row r="292">
      <c r="X292" s="8">
        <f>IF(B292="","",ROUND(COUNTA(B292,D292,E292,J292,K292,L292,M292,N292,O292,P292,Q292,T292,U292,V292)/14*100,0))</f>
        <v/>
      </c>
    </row>
    <row r="293">
      <c r="X293" s="8">
        <f>IF(B293="","",ROUND(COUNTA(B293,D293,E293,J293,K293,L293,M293,N293,O293,P293,Q293,T293,U293,V293)/14*100,0))</f>
        <v/>
      </c>
    </row>
    <row r="294">
      <c r="X294" s="8">
        <f>IF(B294="","",ROUND(COUNTA(B294,D294,E294,J294,K294,L294,M294,N294,O294,P294,Q294,T294,U294,V294)/14*100,0))</f>
        <v/>
      </c>
    </row>
    <row r="295">
      <c r="X295" s="8">
        <f>IF(B295="","",ROUND(COUNTA(B295,D295,E295,J295,K295,L295,M295,N295,O295,P295,Q295,T295,U295,V295)/14*100,0))</f>
        <v/>
      </c>
    </row>
    <row r="296">
      <c r="X296" s="8">
        <f>IF(B296="","",ROUND(COUNTA(B296,D296,E296,J296,K296,L296,M296,N296,O296,P296,Q296,T296,U296,V296)/14*100,0))</f>
        <v/>
      </c>
    </row>
    <row r="297">
      <c r="X297" s="8">
        <f>IF(B297="","",ROUND(COUNTA(B297,D297,E297,J297,K297,L297,M297,N297,O297,P297,Q297,T297,U297,V297)/14*100,0))</f>
        <v/>
      </c>
    </row>
    <row r="298">
      <c r="X298" s="8">
        <f>IF(B298="","",ROUND(COUNTA(B298,D298,E298,J298,K298,L298,M298,N298,O298,P298,Q298,T298,U298,V298)/14*100,0))</f>
        <v/>
      </c>
    </row>
    <row r="299">
      <c r="X299" s="8">
        <f>IF(B299="","",ROUND(COUNTA(B299,D299,E299,J299,K299,L299,M299,N299,O299,P299,Q299,T299,U299,V299)/14*100,0))</f>
        <v/>
      </c>
    </row>
    <row r="300">
      <c r="X300" s="8">
        <f>IF(B300="","",ROUND(COUNTA(B300,D300,E300,J300,K300,L300,M300,N300,O300,P300,Q300,T300,U300,V300)/14*100,0))</f>
        <v/>
      </c>
    </row>
    <row r="301">
      <c r="X301" s="8">
        <f>IF(B301="","",ROUND(COUNTA(B301,D301,E301,J301,K301,L301,M301,N301,O301,P301,Q301,T301,U301,V301)/14*100,0))</f>
        <v/>
      </c>
    </row>
    <row r="302">
      <c r="X302" s="8">
        <f>IF(B302="","",ROUND(COUNTA(B302,D302,E302,J302,K302,L302,M302,N302,O302,P302,Q302,T302,U302,V302)/14*100,0))</f>
        <v/>
      </c>
    </row>
    <row r="303">
      <c r="X303" s="8">
        <f>IF(B303="","",ROUND(COUNTA(B303,D303,E303,J303,K303,L303,M303,N303,O303,P303,Q303,T303,U303,V303)/14*100,0))</f>
        <v/>
      </c>
    </row>
    <row r="304">
      <c r="X304" s="8">
        <f>IF(B304="","",ROUND(COUNTA(B304,D304,E304,J304,K304,L304,M304,N304,O304,P304,Q304,T304,U304,V304)/14*100,0))</f>
        <v/>
      </c>
    </row>
    <row r="305">
      <c r="X305" s="8">
        <f>IF(B305="","",ROUND(COUNTA(B305,D305,E305,J305,K305,L305,M305,N305,O305,P305,Q305,T305,U305,V305)/14*100,0))</f>
        <v/>
      </c>
    </row>
    <row r="306">
      <c r="X306" s="8">
        <f>IF(B306="","",ROUND(COUNTA(B306,D306,E306,J306,K306,L306,M306,N306,O306,P306,Q306,T306,U306,V306)/14*100,0))</f>
        <v/>
      </c>
    </row>
    <row r="307">
      <c r="X307" s="8">
        <f>IF(B307="","",ROUND(COUNTA(B307,D307,E307,J307,K307,L307,M307,N307,O307,P307,Q307,T307,U307,V307)/14*100,0))</f>
        <v/>
      </c>
    </row>
    <row r="308">
      <c r="X308" s="8">
        <f>IF(B308="","",ROUND(COUNTA(B308,D308,E308,J308,K308,L308,M308,N308,O308,P308,Q308,T308,U308,V308)/14*100,0))</f>
        <v/>
      </c>
    </row>
    <row r="309">
      <c r="X309" s="8">
        <f>IF(B309="","",ROUND(COUNTA(B309,D309,E309,J309,K309,L309,M309,N309,O309,P309,Q309,T309,U309,V309)/14*100,0))</f>
        <v/>
      </c>
    </row>
    <row r="310">
      <c r="X310" s="8">
        <f>IF(B310="","",ROUND(COUNTA(B310,D310,E310,J310,K310,L310,M310,N310,O310,P310,Q310,T310,U310,V310)/14*100,0))</f>
        <v/>
      </c>
    </row>
    <row r="311">
      <c r="X311" s="8">
        <f>IF(B311="","",ROUND(COUNTA(B311,D311,E311,J311,K311,L311,M311,N311,O311,P311,Q311,T311,U311,V311)/14*100,0))</f>
        <v/>
      </c>
    </row>
    <row r="312">
      <c r="X312" s="8">
        <f>IF(B312="","",ROUND(COUNTA(B312,D312,E312,J312,K312,L312,M312,N312,O312,P312,Q312,T312,U312,V312)/14*100,0))</f>
        <v/>
      </c>
    </row>
    <row r="313">
      <c r="X313" s="8">
        <f>IF(B313="","",ROUND(COUNTA(B313,D313,E313,J313,K313,L313,M313,N313,O313,P313,Q313,T313,U313,V313)/14*100,0))</f>
        <v/>
      </c>
    </row>
    <row r="314">
      <c r="X314" s="8">
        <f>IF(B314="","",ROUND(COUNTA(B314,D314,E314,J314,K314,L314,M314,N314,O314,P314,Q314,T314,U314,V314)/14*100,0))</f>
        <v/>
      </c>
    </row>
    <row r="315">
      <c r="X315" s="8">
        <f>IF(B315="","",ROUND(COUNTA(B315,D315,E315,J315,K315,L315,M315,N315,O315,P315,Q315,T315,U315,V315)/14*100,0))</f>
        <v/>
      </c>
    </row>
    <row r="316">
      <c r="X316" s="8">
        <f>IF(B316="","",ROUND(COUNTA(B316,D316,E316,J316,K316,L316,M316,N316,O316,P316,Q316,T316,U316,V316)/14*100,0))</f>
        <v/>
      </c>
    </row>
    <row r="317">
      <c r="X317" s="8">
        <f>IF(B317="","",ROUND(COUNTA(B317,D317,E317,J317,K317,L317,M317,N317,O317,P317,Q317,T317,U317,V317)/14*100,0))</f>
        <v/>
      </c>
    </row>
    <row r="318">
      <c r="X318" s="8">
        <f>IF(B318="","",ROUND(COUNTA(B318,D318,E318,J318,K318,L318,M318,N318,O318,P318,Q318,T318,U318,V318)/14*100,0))</f>
        <v/>
      </c>
    </row>
    <row r="319">
      <c r="X319" s="8">
        <f>IF(B319="","",ROUND(COUNTA(B319,D319,E319,J319,K319,L319,M319,N319,O319,P319,Q319,T319,U319,V319)/14*100,0))</f>
        <v/>
      </c>
    </row>
    <row r="320">
      <c r="X320" s="8">
        <f>IF(B320="","",ROUND(COUNTA(B320,D320,E320,J320,K320,L320,M320,N320,O320,P320,Q320,T320,U320,V320)/14*100,0))</f>
        <v/>
      </c>
    </row>
    <row r="321">
      <c r="X321" s="8">
        <f>IF(B321="","",ROUND(COUNTA(B321,D321,E321,J321,K321,L321,M321,N321,O321,P321,Q321,T321,U321,V321)/14*100,0))</f>
        <v/>
      </c>
    </row>
    <row r="322">
      <c r="X322" s="8">
        <f>IF(B322="","",ROUND(COUNTA(B322,D322,E322,J322,K322,L322,M322,N322,O322,P322,Q322,T322,U322,V322)/14*100,0))</f>
        <v/>
      </c>
    </row>
    <row r="323">
      <c r="X323" s="8">
        <f>IF(B323="","",ROUND(COUNTA(B323,D323,E323,J323,K323,L323,M323,N323,O323,P323,Q323,T323,U323,V323)/14*100,0))</f>
        <v/>
      </c>
    </row>
    <row r="324">
      <c r="X324" s="8">
        <f>IF(B324="","",ROUND(COUNTA(B324,D324,E324,J324,K324,L324,M324,N324,O324,P324,Q324,T324,U324,V324)/14*100,0))</f>
        <v/>
      </c>
    </row>
    <row r="325">
      <c r="X325" s="8">
        <f>IF(B325="","",ROUND(COUNTA(B325,D325,E325,J325,K325,L325,M325,N325,O325,P325,Q325,T325,U325,V325)/14*100,0))</f>
        <v/>
      </c>
    </row>
    <row r="326">
      <c r="X326" s="8">
        <f>IF(B326="","",ROUND(COUNTA(B326,D326,E326,J326,K326,L326,M326,N326,O326,P326,Q326,T326,U326,V326)/14*100,0))</f>
        <v/>
      </c>
    </row>
    <row r="327">
      <c r="X327" s="8">
        <f>IF(B327="","",ROUND(COUNTA(B327,D327,E327,J327,K327,L327,M327,N327,O327,P327,Q327,T327,U327,V327)/14*100,0))</f>
        <v/>
      </c>
    </row>
    <row r="328">
      <c r="X328" s="8">
        <f>IF(B328="","",ROUND(COUNTA(B328,D328,E328,J328,K328,L328,M328,N328,O328,P328,Q328,T328,U328,V328)/14*100,0))</f>
        <v/>
      </c>
    </row>
    <row r="329">
      <c r="X329" s="8">
        <f>IF(B329="","",ROUND(COUNTA(B329,D329,E329,J329,K329,L329,M329,N329,O329,P329,Q329,T329,U329,V329)/14*100,0))</f>
        <v/>
      </c>
    </row>
    <row r="330">
      <c r="X330" s="8">
        <f>IF(B330="","",ROUND(COUNTA(B330,D330,E330,J330,K330,L330,M330,N330,O330,P330,Q330,T330,U330,V330)/14*100,0))</f>
        <v/>
      </c>
    </row>
    <row r="331">
      <c r="X331" s="8">
        <f>IF(B331="","",ROUND(COUNTA(B331,D331,E331,J331,K331,L331,M331,N331,O331,P331,Q331,T331,U331,V331)/14*100,0))</f>
        <v/>
      </c>
    </row>
    <row r="332">
      <c r="X332" s="8">
        <f>IF(B332="","",ROUND(COUNTA(B332,D332,E332,J332,K332,L332,M332,N332,O332,P332,Q332,T332,U332,V332)/14*100,0))</f>
        <v/>
      </c>
    </row>
    <row r="333">
      <c r="X333" s="8">
        <f>IF(B333="","",ROUND(COUNTA(B333,D333,E333,J333,K333,L333,M333,N333,O333,P333,Q333,T333,U333,V333)/14*100,0))</f>
        <v/>
      </c>
    </row>
    <row r="334">
      <c r="X334" s="8">
        <f>IF(B334="","",ROUND(COUNTA(B334,D334,E334,J334,K334,L334,M334,N334,O334,P334,Q334,T334,U334,V334)/14*100,0))</f>
        <v/>
      </c>
    </row>
    <row r="335">
      <c r="X335" s="8">
        <f>IF(B335="","",ROUND(COUNTA(B335,D335,E335,J335,K335,L335,M335,N335,O335,P335,Q335,T335,U335,V335)/14*100,0))</f>
        <v/>
      </c>
    </row>
    <row r="336">
      <c r="X336" s="8">
        <f>IF(B336="","",ROUND(COUNTA(B336,D336,E336,J336,K336,L336,M336,N336,O336,P336,Q336,T336,U336,V336)/14*100,0))</f>
        <v/>
      </c>
    </row>
    <row r="337">
      <c r="X337" s="8">
        <f>IF(B337="","",ROUND(COUNTA(B337,D337,E337,J337,K337,L337,M337,N337,O337,P337,Q337,T337,U337,V337)/14*100,0))</f>
        <v/>
      </c>
    </row>
    <row r="338">
      <c r="X338" s="8">
        <f>IF(B338="","",ROUND(COUNTA(B338,D338,E338,J338,K338,L338,M338,N338,O338,P338,Q338,T338,U338,V338)/14*100,0))</f>
        <v/>
      </c>
    </row>
    <row r="339">
      <c r="X339" s="8">
        <f>IF(B339="","",ROUND(COUNTA(B339,D339,E339,J339,K339,L339,M339,N339,O339,P339,Q339,T339,U339,V339)/14*100,0))</f>
        <v/>
      </c>
    </row>
    <row r="340">
      <c r="X340" s="8">
        <f>IF(B340="","",ROUND(COUNTA(B340,D340,E340,J340,K340,L340,M340,N340,O340,P340,Q340,T340,U340,V340)/14*100,0))</f>
        <v/>
      </c>
    </row>
    <row r="341">
      <c r="X341" s="8">
        <f>IF(B341="","",ROUND(COUNTA(B341,D341,E341,J341,K341,L341,M341,N341,O341,P341,Q341,T341,U341,V341)/14*100,0))</f>
        <v/>
      </c>
    </row>
    <row r="342">
      <c r="X342" s="8">
        <f>IF(B342="","",ROUND(COUNTA(B342,D342,E342,J342,K342,L342,M342,N342,O342,P342,Q342,T342,U342,V342)/14*100,0))</f>
        <v/>
      </c>
    </row>
    <row r="343">
      <c r="X343" s="8">
        <f>IF(B343="","",ROUND(COUNTA(B343,D343,E343,J343,K343,L343,M343,N343,O343,P343,Q343,T343,U343,V343)/14*100,0))</f>
        <v/>
      </c>
    </row>
    <row r="344">
      <c r="X344" s="8">
        <f>IF(B344="","",ROUND(COUNTA(B344,D344,E344,J344,K344,L344,M344,N344,O344,P344,Q344,T344,U344,V344)/14*100,0))</f>
        <v/>
      </c>
    </row>
    <row r="345">
      <c r="X345" s="8">
        <f>IF(B345="","",ROUND(COUNTA(B345,D345,E345,J345,K345,L345,M345,N345,O345,P345,Q345,T345,U345,V345)/14*100,0))</f>
        <v/>
      </c>
    </row>
    <row r="346">
      <c r="X346" s="8">
        <f>IF(B346="","",ROUND(COUNTA(B346,D346,E346,J346,K346,L346,M346,N346,O346,P346,Q346,T346,U346,V346)/14*100,0))</f>
        <v/>
      </c>
    </row>
    <row r="347">
      <c r="X347" s="8">
        <f>IF(B347="","",ROUND(COUNTA(B347,D347,E347,J347,K347,L347,M347,N347,O347,P347,Q347,T347,U347,V347)/14*100,0))</f>
        <v/>
      </c>
    </row>
    <row r="348">
      <c r="X348" s="8">
        <f>IF(B348="","",ROUND(COUNTA(B348,D348,E348,J348,K348,L348,M348,N348,O348,P348,Q348,T348,U348,V348)/14*100,0))</f>
        <v/>
      </c>
    </row>
    <row r="349">
      <c r="X349" s="8">
        <f>IF(B349="","",ROUND(COUNTA(B349,D349,E349,J349,K349,L349,M349,N349,O349,P349,Q349,T349,U349,V349)/14*100,0))</f>
        <v/>
      </c>
    </row>
    <row r="350">
      <c r="X350" s="8">
        <f>IF(B350="","",ROUND(COUNTA(B350,D350,E350,J350,K350,L350,M350,N350,O350,P350,Q350,T350,U350,V350)/14*100,0))</f>
        <v/>
      </c>
    </row>
    <row r="351">
      <c r="X351" s="8">
        <f>IF(B351="","",ROUND(COUNTA(B351,D351,E351,J351,K351,L351,M351,N351,O351,P351,Q351,T351,U351,V351)/14*100,0))</f>
        <v/>
      </c>
    </row>
    <row r="352">
      <c r="X352" s="8">
        <f>IF(B352="","",ROUND(COUNTA(B352,D352,E352,J352,K352,L352,M352,N352,O352,P352,Q352,T352,U352,V352)/14*100,0))</f>
        <v/>
      </c>
    </row>
    <row r="353">
      <c r="X353" s="8">
        <f>IF(B353="","",ROUND(COUNTA(B353,D353,E353,J353,K353,L353,M353,N353,O353,P353,Q353,T353,U353,V353)/14*100,0))</f>
        <v/>
      </c>
    </row>
    <row r="354">
      <c r="X354" s="8">
        <f>IF(B354="","",ROUND(COUNTA(B354,D354,E354,J354,K354,L354,M354,N354,O354,P354,Q354,T354,U354,V354)/14*100,0))</f>
        <v/>
      </c>
    </row>
    <row r="355">
      <c r="X355" s="8">
        <f>IF(B355="","",ROUND(COUNTA(B355,D355,E355,J355,K355,L355,M355,N355,O355,P355,Q355,T355,U355,V355)/14*100,0))</f>
        <v/>
      </c>
    </row>
    <row r="356">
      <c r="X356" s="8">
        <f>IF(B356="","",ROUND(COUNTA(B356,D356,E356,J356,K356,L356,M356,N356,O356,P356,Q356,T356,U356,V356)/14*100,0))</f>
        <v/>
      </c>
    </row>
    <row r="357">
      <c r="X357" s="8">
        <f>IF(B357="","",ROUND(COUNTA(B357,D357,E357,J357,K357,L357,M357,N357,O357,P357,Q357,T357,U357,V357)/14*100,0))</f>
        <v/>
      </c>
    </row>
    <row r="358">
      <c r="X358" s="8">
        <f>IF(B358="","",ROUND(COUNTA(B358,D358,E358,J358,K358,L358,M358,N358,O358,P358,Q358,T358,U358,V358)/14*100,0))</f>
        <v/>
      </c>
    </row>
    <row r="359">
      <c r="X359" s="8">
        <f>IF(B359="","",ROUND(COUNTA(B359,D359,E359,J359,K359,L359,M359,N359,O359,P359,Q359,T359,U359,V359)/14*100,0))</f>
        <v/>
      </c>
    </row>
    <row r="360">
      <c r="X360" s="8">
        <f>IF(B360="","",ROUND(COUNTA(B360,D360,E360,J360,K360,L360,M360,N360,O360,P360,Q360,T360,U360,V360)/14*100,0))</f>
        <v/>
      </c>
    </row>
    <row r="361">
      <c r="X361" s="8">
        <f>IF(B361="","",ROUND(COUNTA(B361,D361,E361,J361,K361,L361,M361,N361,O361,P361,Q361,T361,U361,V361)/14*100,0))</f>
        <v/>
      </c>
    </row>
    <row r="362">
      <c r="X362" s="8">
        <f>IF(B362="","",ROUND(COUNTA(B362,D362,E362,J362,K362,L362,M362,N362,O362,P362,Q362,T362,U362,V362)/14*100,0))</f>
        <v/>
      </c>
    </row>
    <row r="363">
      <c r="X363" s="8">
        <f>IF(B363="","",ROUND(COUNTA(B363,D363,E363,J363,K363,L363,M363,N363,O363,P363,Q363,T363,U363,V363)/14*100,0))</f>
        <v/>
      </c>
    </row>
    <row r="364">
      <c r="X364" s="8">
        <f>IF(B364="","",ROUND(COUNTA(B364,D364,E364,J364,K364,L364,M364,N364,O364,P364,Q364,T364,U364,V364)/14*100,0))</f>
        <v/>
      </c>
    </row>
    <row r="365">
      <c r="X365" s="8">
        <f>IF(B365="","",ROUND(COUNTA(B365,D365,E365,J365,K365,L365,M365,N365,O365,P365,Q365,T365,U365,V365)/14*100,0))</f>
        <v/>
      </c>
    </row>
    <row r="366">
      <c r="X366" s="8">
        <f>IF(B366="","",ROUND(COUNTA(B366,D366,E366,J366,K366,L366,M366,N366,O366,P366,Q366,T366,U366,V366)/14*100,0))</f>
        <v/>
      </c>
    </row>
    <row r="367">
      <c r="X367" s="8">
        <f>IF(B367="","",ROUND(COUNTA(B367,D367,E367,J367,K367,L367,M367,N367,O367,P367,Q367,T367,U367,V367)/14*100,0))</f>
        <v/>
      </c>
    </row>
    <row r="368">
      <c r="X368" s="8">
        <f>IF(B368="","",ROUND(COUNTA(B368,D368,E368,J368,K368,L368,M368,N368,O368,P368,Q368,T368,U368,V368)/14*100,0))</f>
        <v/>
      </c>
    </row>
    <row r="369">
      <c r="X369" s="8">
        <f>IF(B369="","",ROUND(COUNTA(B369,D369,E369,J369,K369,L369,M369,N369,O369,P369,Q369,T369,U369,V369)/14*100,0))</f>
        <v/>
      </c>
    </row>
    <row r="370">
      <c r="X370" s="8">
        <f>IF(B370="","",ROUND(COUNTA(B370,D370,E370,J370,K370,L370,M370,N370,O370,P370,Q370,T370,U370,V370)/14*100,0))</f>
        <v/>
      </c>
    </row>
    <row r="371">
      <c r="X371" s="8">
        <f>IF(B371="","",ROUND(COUNTA(B371,D371,E371,J371,K371,L371,M371,N371,O371,P371,Q371,T371,U371,V371)/14*100,0))</f>
        <v/>
      </c>
    </row>
    <row r="372">
      <c r="X372" s="8">
        <f>IF(B372="","",ROUND(COUNTA(B372,D372,E372,J372,K372,L372,M372,N372,O372,P372,Q372,T372,U372,V372)/14*100,0))</f>
        <v/>
      </c>
    </row>
    <row r="373">
      <c r="X373" s="8">
        <f>IF(B373="","",ROUND(COUNTA(B373,D373,E373,J373,K373,L373,M373,N373,O373,P373,Q373,T373,U373,V373)/14*100,0))</f>
        <v/>
      </c>
    </row>
    <row r="374">
      <c r="X374" s="8">
        <f>IF(B374="","",ROUND(COUNTA(B374,D374,E374,J374,K374,L374,M374,N374,O374,P374,Q374,T374,U374,V374)/14*100,0))</f>
        <v/>
      </c>
    </row>
    <row r="375">
      <c r="X375" s="8">
        <f>IF(B375="","",ROUND(COUNTA(B375,D375,E375,J375,K375,L375,M375,N375,O375,P375,Q375,T375,U375,V375)/14*100,0))</f>
        <v/>
      </c>
    </row>
    <row r="376">
      <c r="X376" s="8">
        <f>IF(B376="","",ROUND(COUNTA(B376,D376,E376,J376,K376,L376,M376,N376,O376,P376,Q376,T376,U376,V376)/14*100,0))</f>
        <v/>
      </c>
    </row>
    <row r="377">
      <c r="X377" s="8">
        <f>IF(B377="","",ROUND(COUNTA(B377,D377,E377,J377,K377,L377,M377,N377,O377,P377,Q377,T377,U377,V377)/14*100,0))</f>
        <v/>
      </c>
    </row>
    <row r="378">
      <c r="X378" s="8">
        <f>IF(B378="","",ROUND(COUNTA(B378,D378,E378,J378,K378,L378,M378,N378,O378,P378,Q378,T378,U378,V378)/14*100,0))</f>
        <v/>
      </c>
    </row>
    <row r="379">
      <c r="X379" s="8">
        <f>IF(B379="","",ROUND(COUNTA(B379,D379,E379,J379,K379,L379,M379,N379,O379,P379,Q379,T379,U379,V379)/14*100,0))</f>
        <v/>
      </c>
    </row>
    <row r="380">
      <c r="X380" s="8">
        <f>IF(B380="","",ROUND(COUNTA(B380,D380,E380,J380,K380,L380,M380,N380,O380,P380,Q380,T380,U380,V380)/14*100,0))</f>
        <v/>
      </c>
    </row>
    <row r="381">
      <c r="X381" s="8">
        <f>IF(B381="","",ROUND(COUNTA(B381,D381,E381,J381,K381,L381,M381,N381,O381,P381,Q381,T381,U381,V381)/14*100,0))</f>
        <v/>
      </c>
    </row>
    <row r="382">
      <c r="X382" s="8">
        <f>IF(B382="","",ROUND(COUNTA(B382,D382,E382,J382,K382,L382,M382,N382,O382,P382,Q382,T382,U382,V382)/14*100,0))</f>
        <v/>
      </c>
    </row>
    <row r="383">
      <c r="X383" s="8">
        <f>IF(B383="","",ROUND(COUNTA(B383,D383,E383,J383,K383,L383,M383,N383,O383,P383,Q383,T383,U383,V383)/14*100,0))</f>
        <v/>
      </c>
    </row>
    <row r="384">
      <c r="X384" s="8">
        <f>IF(B384="","",ROUND(COUNTA(B384,D384,E384,J384,K384,L384,M384,N384,O384,P384,Q384,T384,U384,V384)/14*100,0))</f>
        <v/>
      </c>
    </row>
    <row r="385">
      <c r="X385" s="8">
        <f>IF(B385="","",ROUND(COUNTA(B385,D385,E385,J385,K385,L385,M385,N385,O385,P385,Q385,T385,U385,V385)/14*100,0))</f>
        <v/>
      </c>
    </row>
    <row r="386">
      <c r="X386" s="8">
        <f>IF(B386="","",ROUND(COUNTA(B386,D386,E386,J386,K386,L386,M386,N386,O386,P386,Q386,T386,U386,V386)/14*100,0))</f>
        <v/>
      </c>
    </row>
    <row r="387">
      <c r="X387" s="8">
        <f>IF(B387="","",ROUND(COUNTA(B387,D387,E387,J387,K387,L387,M387,N387,O387,P387,Q387,T387,U387,V387)/14*100,0))</f>
        <v/>
      </c>
    </row>
    <row r="388">
      <c r="X388" s="8">
        <f>IF(B388="","",ROUND(COUNTA(B388,D388,E388,J388,K388,L388,M388,N388,O388,P388,Q388,T388,U388,V388)/14*100,0))</f>
        <v/>
      </c>
    </row>
    <row r="389">
      <c r="X389" s="8">
        <f>IF(B389="","",ROUND(COUNTA(B389,D389,E389,J389,K389,L389,M389,N389,O389,P389,Q389,T389,U389,V389)/14*100,0))</f>
        <v/>
      </c>
    </row>
    <row r="390">
      <c r="X390" s="8">
        <f>IF(B390="","",ROUND(COUNTA(B390,D390,E390,J390,K390,L390,M390,N390,O390,P390,Q390,T390,U390,V390)/14*100,0))</f>
        <v/>
      </c>
    </row>
    <row r="391">
      <c r="X391" s="8">
        <f>IF(B391="","",ROUND(COUNTA(B391,D391,E391,J391,K391,L391,M391,N391,O391,P391,Q391,T391,U391,V391)/14*100,0))</f>
        <v/>
      </c>
    </row>
    <row r="392">
      <c r="X392" s="8">
        <f>IF(B392="","",ROUND(COUNTA(B392,D392,E392,J392,K392,L392,M392,N392,O392,P392,Q392,T392,U392,V392)/14*100,0))</f>
        <v/>
      </c>
    </row>
    <row r="393">
      <c r="X393" s="8">
        <f>IF(B393="","",ROUND(COUNTA(B393,D393,E393,J393,K393,L393,M393,N393,O393,P393,Q393,T393,U393,V393)/14*100,0))</f>
        <v/>
      </c>
    </row>
    <row r="394">
      <c r="X394" s="8">
        <f>IF(B394="","",ROUND(COUNTA(B394,D394,E394,J394,K394,L394,M394,N394,O394,P394,Q394,T394,U394,V394)/14*100,0))</f>
        <v/>
      </c>
    </row>
    <row r="395">
      <c r="X395" s="8">
        <f>IF(B395="","",ROUND(COUNTA(B395,D395,E395,J395,K395,L395,M395,N395,O395,P395,Q395,T395,U395,V395)/14*100,0))</f>
        <v/>
      </c>
    </row>
    <row r="396">
      <c r="X396" s="8">
        <f>IF(B396="","",ROUND(COUNTA(B396,D396,E396,J396,K396,L396,M396,N396,O396,P396,Q396,T396,U396,V396)/14*100,0))</f>
        <v/>
      </c>
    </row>
    <row r="397">
      <c r="X397" s="8">
        <f>IF(B397="","",ROUND(COUNTA(B397,D397,E397,J397,K397,L397,M397,N397,O397,P397,Q397,T397,U397,V397)/14*100,0))</f>
        <v/>
      </c>
    </row>
    <row r="398">
      <c r="X398" s="8">
        <f>IF(B398="","",ROUND(COUNTA(B398,D398,E398,J398,K398,L398,M398,N398,O398,P398,Q398,T398,U398,V398)/14*100,0))</f>
        <v/>
      </c>
    </row>
    <row r="399">
      <c r="X399" s="8">
        <f>IF(B399="","",ROUND(COUNTA(B399,D399,E399,J399,K399,L399,M399,N399,O399,P399,Q399,T399,U399,V399)/14*100,0))</f>
        <v/>
      </c>
    </row>
    <row r="400">
      <c r="X400" s="8">
        <f>IF(B400="","",ROUND(COUNTA(B400,D400,E400,J400,K400,L400,M400,N400,O400,P400,Q400,T400,U400,V400)/14*100,0))</f>
        <v/>
      </c>
    </row>
    <row r="401">
      <c r="X401" s="8">
        <f>IF(B401="","",ROUND(COUNTA(B401,D401,E401,J401,K401,L401,M401,N401,O401,P401,Q401,T401,U401,V401)/14*100,0))</f>
        <v/>
      </c>
    </row>
    <row r="402">
      <c r="X402" s="8">
        <f>IF(B402="","",ROUND(COUNTA(B402,D402,E402,J402,K402,L402,M402,N402,O402,P402,Q402,T402,U402,V402)/14*100,0))</f>
        <v/>
      </c>
    </row>
    <row r="403">
      <c r="X403" s="8">
        <f>IF(B403="","",ROUND(COUNTA(B403,D403,E403,J403,K403,L403,M403,N403,O403,P403,Q403,T403,U403,V403)/14*100,0))</f>
        <v/>
      </c>
    </row>
    <row r="404">
      <c r="X404" s="8">
        <f>IF(B404="","",ROUND(COUNTA(B404,D404,E404,J404,K404,L404,M404,N404,O404,P404,Q404,T404,U404,V404)/14*100,0))</f>
        <v/>
      </c>
    </row>
    <row r="405">
      <c r="X405" s="8">
        <f>IF(B405="","",ROUND(COUNTA(B405,D405,E405,J405,K405,L405,M405,N405,O405,P405,Q405,T405,U405,V405)/14*100,0))</f>
        <v/>
      </c>
    </row>
    <row r="406">
      <c r="X406" s="8">
        <f>IF(B406="","",ROUND(COUNTA(B406,D406,E406,J406,K406,L406,M406,N406,O406,P406,Q406,T406,U406,V406)/14*100,0))</f>
        <v/>
      </c>
    </row>
    <row r="407">
      <c r="X407" s="8">
        <f>IF(B407="","",ROUND(COUNTA(B407,D407,E407,J407,K407,L407,M407,N407,O407,P407,Q407,T407,U407,V407)/14*100,0))</f>
        <v/>
      </c>
    </row>
    <row r="408">
      <c r="X408" s="8">
        <f>IF(B408="","",ROUND(COUNTA(B408,D408,E408,J408,K408,L408,M408,N408,O408,P408,Q408,T408,U408,V408)/14*100,0))</f>
        <v/>
      </c>
    </row>
    <row r="409">
      <c r="X409" s="8">
        <f>IF(B409="","",ROUND(COUNTA(B409,D409,E409,J409,K409,L409,M409,N409,O409,P409,Q409,T409,U409,V409)/14*100,0))</f>
        <v/>
      </c>
    </row>
    <row r="410">
      <c r="X410" s="8">
        <f>IF(B410="","",ROUND(COUNTA(B410,D410,E410,J410,K410,L410,M410,N410,O410,P410,Q410,T410,U410,V410)/14*100,0))</f>
        <v/>
      </c>
    </row>
    <row r="411">
      <c r="X411" s="8">
        <f>IF(B411="","",ROUND(COUNTA(B411,D411,E411,J411,K411,L411,M411,N411,O411,P411,Q411,T411,U411,V411)/14*100,0))</f>
        <v/>
      </c>
    </row>
    <row r="412">
      <c r="X412" s="8">
        <f>IF(B412="","",ROUND(COUNTA(B412,D412,E412,J412,K412,L412,M412,N412,O412,P412,Q412,T412,U412,V412)/14*100,0))</f>
        <v/>
      </c>
    </row>
    <row r="413">
      <c r="X413" s="8">
        <f>IF(B413="","",ROUND(COUNTA(B413,D413,E413,J413,K413,L413,M413,N413,O413,P413,Q413,T413,U413,V413)/14*100,0))</f>
        <v/>
      </c>
    </row>
    <row r="414">
      <c r="X414" s="8">
        <f>IF(B414="","",ROUND(COUNTA(B414,D414,E414,J414,K414,L414,M414,N414,O414,P414,Q414,T414,U414,V414)/14*100,0))</f>
        <v/>
      </c>
    </row>
    <row r="415">
      <c r="X415" s="8">
        <f>IF(B415="","",ROUND(COUNTA(B415,D415,E415,J415,K415,L415,M415,N415,O415,P415,Q415,T415,U415,V415)/14*100,0))</f>
        <v/>
      </c>
    </row>
    <row r="416">
      <c r="X416" s="8">
        <f>IF(B416="","",ROUND(COUNTA(B416,D416,E416,J416,K416,L416,M416,N416,O416,P416,Q416,T416,U416,V416)/14*100,0))</f>
        <v/>
      </c>
    </row>
    <row r="417">
      <c r="X417" s="8">
        <f>IF(B417="","",ROUND(COUNTA(B417,D417,E417,J417,K417,L417,M417,N417,O417,P417,Q417,T417,U417,V417)/14*100,0))</f>
        <v/>
      </c>
    </row>
    <row r="418">
      <c r="X418" s="8">
        <f>IF(B418="","",ROUND(COUNTA(B418,D418,E418,J418,K418,L418,M418,N418,O418,P418,Q418,T418,U418,V418)/14*100,0))</f>
        <v/>
      </c>
    </row>
    <row r="419">
      <c r="X419" s="8">
        <f>IF(B419="","",ROUND(COUNTA(B419,D419,E419,J419,K419,L419,M419,N419,O419,P419,Q419,T419,U419,V419)/14*100,0))</f>
        <v/>
      </c>
    </row>
    <row r="420">
      <c r="X420" s="8">
        <f>IF(B420="","",ROUND(COUNTA(B420,D420,E420,J420,K420,L420,M420,N420,O420,P420,Q420,T420,U420,V420)/14*100,0))</f>
        <v/>
      </c>
    </row>
    <row r="421">
      <c r="X421" s="8">
        <f>IF(B421="","",ROUND(COUNTA(B421,D421,E421,J421,K421,L421,M421,N421,O421,P421,Q421,T421,U421,V421)/14*100,0))</f>
        <v/>
      </c>
    </row>
    <row r="422">
      <c r="X422" s="8">
        <f>IF(B422="","",ROUND(COUNTA(B422,D422,E422,J422,K422,L422,M422,N422,O422,P422,Q422,T422,U422,V422)/14*100,0))</f>
        <v/>
      </c>
    </row>
    <row r="423">
      <c r="X423" s="8">
        <f>IF(B423="","",ROUND(COUNTA(B423,D423,E423,J423,K423,L423,M423,N423,O423,P423,Q423,T423,U423,V423)/14*100,0))</f>
        <v/>
      </c>
    </row>
    <row r="424">
      <c r="X424" s="8">
        <f>IF(B424="","",ROUND(COUNTA(B424,D424,E424,J424,K424,L424,M424,N424,O424,P424,Q424,T424,U424,V424)/14*100,0))</f>
        <v/>
      </c>
    </row>
    <row r="425">
      <c r="X425" s="8">
        <f>IF(B425="","",ROUND(COUNTA(B425,D425,E425,J425,K425,L425,M425,N425,O425,P425,Q425,T425,U425,V425)/14*100,0))</f>
        <v/>
      </c>
    </row>
    <row r="426">
      <c r="X426" s="8">
        <f>IF(B426="","",ROUND(COUNTA(B426,D426,E426,J426,K426,L426,M426,N426,O426,P426,Q426,T426,U426,V426)/14*100,0))</f>
        <v/>
      </c>
    </row>
    <row r="427">
      <c r="X427" s="8">
        <f>IF(B427="","",ROUND(COUNTA(B427,D427,E427,J427,K427,L427,M427,N427,O427,P427,Q427,T427,U427,V427)/14*100,0))</f>
        <v/>
      </c>
    </row>
    <row r="428">
      <c r="X428" s="8">
        <f>IF(B428="","",ROUND(COUNTA(B428,D428,E428,J428,K428,L428,M428,N428,O428,P428,Q428,T428,U428,V428)/14*100,0))</f>
        <v/>
      </c>
    </row>
    <row r="429">
      <c r="X429" s="8">
        <f>IF(B429="","",ROUND(COUNTA(B429,D429,E429,J429,K429,L429,M429,N429,O429,P429,Q429,T429,U429,V429)/14*100,0))</f>
        <v/>
      </c>
    </row>
    <row r="430">
      <c r="X430" s="8">
        <f>IF(B430="","",ROUND(COUNTA(B430,D430,E430,J430,K430,L430,M430,N430,O430,P430,Q430,T430,U430,V430)/14*100,0))</f>
        <v/>
      </c>
    </row>
    <row r="431">
      <c r="X431" s="8">
        <f>IF(B431="","",ROUND(COUNTA(B431,D431,E431,J431,K431,L431,M431,N431,O431,P431,Q431,T431,U431,V431)/14*100,0))</f>
        <v/>
      </c>
    </row>
    <row r="432">
      <c r="X432" s="8">
        <f>IF(B432="","",ROUND(COUNTA(B432,D432,E432,J432,K432,L432,M432,N432,O432,P432,Q432,T432,U432,V432)/14*100,0))</f>
        <v/>
      </c>
    </row>
    <row r="433">
      <c r="X433" s="8">
        <f>IF(B433="","",ROUND(COUNTA(B433,D433,E433,J433,K433,L433,M433,N433,O433,P433,Q433,T433,U433,V433)/14*100,0))</f>
        <v/>
      </c>
    </row>
    <row r="434">
      <c r="X434" s="8">
        <f>IF(B434="","",ROUND(COUNTA(B434,D434,E434,J434,K434,L434,M434,N434,O434,P434,Q434,T434,U434,V434)/14*100,0))</f>
        <v/>
      </c>
    </row>
    <row r="435">
      <c r="X435" s="8">
        <f>IF(B435="","",ROUND(COUNTA(B435,D435,E435,J435,K435,L435,M435,N435,O435,P435,Q435,T435,U435,V435)/14*100,0))</f>
        <v/>
      </c>
    </row>
    <row r="436">
      <c r="X436" s="8">
        <f>IF(B436="","",ROUND(COUNTA(B436,D436,E436,J436,K436,L436,M436,N436,O436,P436,Q436,T436,U436,V436)/14*100,0))</f>
        <v/>
      </c>
    </row>
    <row r="437">
      <c r="X437" s="8">
        <f>IF(B437="","",ROUND(COUNTA(B437,D437,E437,J437,K437,L437,M437,N437,O437,P437,Q437,T437,U437,V437)/14*100,0))</f>
        <v/>
      </c>
    </row>
    <row r="438">
      <c r="X438" s="8">
        <f>IF(B438="","",ROUND(COUNTA(B438,D438,E438,J438,K438,L438,M438,N438,O438,P438,Q438,T438,U438,V438)/14*100,0))</f>
        <v/>
      </c>
    </row>
    <row r="439">
      <c r="X439" s="8">
        <f>IF(B439="","",ROUND(COUNTA(B439,D439,E439,J439,K439,L439,M439,N439,O439,P439,Q439,T439,U439,V439)/14*100,0))</f>
        <v/>
      </c>
    </row>
    <row r="440">
      <c r="X440" s="8">
        <f>IF(B440="","",ROUND(COUNTA(B440,D440,E440,J440,K440,L440,M440,N440,O440,P440,Q440,T440,U440,V440)/14*100,0))</f>
        <v/>
      </c>
    </row>
    <row r="441">
      <c r="X441" s="8">
        <f>IF(B441="","",ROUND(COUNTA(B441,D441,E441,J441,K441,L441,M441,N441,O441,P441,Q441,T441,U441,V441)/14*100,0))</f>
        <v/>
      </c>
    </row>
    <row r="442">
      <c r="X442" s="8">
        <f>IF(B442="","",ROUND(COUNTA(B442,D442,E442,J442,K442,L442,M442,N442,O442,P442,Q442,T442,U442,V442)/14*100,0))</f>
        <v/>
      </c>
    </row>
    <row r="443">
      <c r="X443" s="8">
        <f>IF(B443="","",ROUND(COUNTA(B443,D443,E443,J443,K443,L443,M443,N443,O443,P443,Q443,T443,U443,V443)/14*100,0))</f>
        <v/>
      </c>
    </row>
    <row r="444">
      <c r="X444" s="8">
        <f>IF(B444="","",ROUND(COUNTA(B444,D444,E444,J444,K444,L444,M444,N444,O444,P444,Q444,T444,U444,V444)/14*100,0))</f>
        <v/>
      </c>
    </row>
    <row r="445">
      <c r="X445" s="8">
        <f>IF(B445="","",ROUND(COUNTA(B445,D445,E445,J445,K445,L445,M445,N445,O445,P445,Q445,T445,U445,V445)/14*100,0))</f>
        <v/>
      </c>
    </row>
    <row r="446">
      <c r="X446" s="8">
        <f>IF(B446="","",ROUND(COUNTA(B446,D446,E446,J446,K446,L446,M446,N446,O446,P446,Q446,T446,U446,V446)/14*100,0))</f>
        <v/>
      </c>
    </row>
    <row r="447">
      <c r="X447" s="8">
        <f>IF(B447="","",ROUND(COUNTA(B447,D447,E447,J447,K447,L447,M447,N447,O447,P447,Q447,T447,U447,V447)/14*100,0))</f>
        <v/>
      </c>
    </row>
    <row r="448">
      <c r="X448" s="8">
        <f>IF(B448="","",ROUND(COUNTA(B448,D448,E448,J448,K448,L448,M448,N448,O448,P448,Q448,T448,U448,V448)/14*100,0))</f>
        <v/>
      </c>
    </row>
    <row r="449">
      <c r="X449" s="8">
        <f>IF(B449="","",ROUND(COUNTA(B449,D449,E449,J449,K449,L449,M449,N449,O449,P449,Q449,T449,U449,V449)/14*100,0))</f>
        <v/>
      </c>
    </row>
    <row r="450">
      <c r="X450" s="8">
        <f>IF(B450="","",ROUND(COUNTA(B450,D450,E450,J450,K450,L450,M450,N450,O450,P450,Q450,T450,U450,V450)/14*100,0))</f>
        <v/>
      </c>
    </row>
    <row r="451">
      <c r="X451" s="8">
        <f>IF(B451="","",ROUND(COUNTA(B451,D451,E451,J451,K451,L451,M451,N451,O451,P451,Q451,T451,U451,V451)/14*100,0))</f>
        <v/>
      </c>
    </row>
    <row r="452">
      <c r="X452" s="8">
        <f>IF(B452="","",ROUND(COUNTA(B452,D452,E452,J452,K452,L452,M452,N452,O452,P452,Q452,T452,U452,V452)/14*100,0))</f>
        <v/>
      </c>
    </row>
    <row r="453">
      <c r="X453" s="8">
        <f>IF(B453="","",ROUND(COUNTA(B453,D453,E453,J453,K453,L453,M453,N453,O453,P453,Q453,T453,U453,V453)/14*100,0))</f>
        <v/>
      </c>
    </row>
    <row r="454">
      <c r="X454" s="8">
        <f>IF(B454="","",ROUND(COUNTA(B454,D454,E454,J454,K454,L454,M454,N454,O454,P454,Q454,T454,U454,V454)/14*100,0))</f>
        <v/>
      </c>
    </row>
    <row r="455">
      <c r="X455" s="8">
        <f>IF(B455="","",ROUND(COUNTA(B455,D455,E455,J455,K455,L455,M455,N455,O455,P455,Q455,T455,U455,V455)/14*100,0))</f>
        <v/>
      </c>
    </row>
    <row r="456">
      <c r="X456" s="8">
        <f>IF(B456="","",ROUND(COUNTA(B456,D456,E456,J456,K456,L456,M456,N456,O456,P456,Q456,T456,U456,V456)/14*100,0))</f>
        <v/>
      </c>
    </row>
    <row r="457">
      <c r="X457" s="8">
        <f>IF(B457="","",ROUND(COUNTA(B457,D457,E457,J457,K457,L457,M457,N457,O457,P457,Q457,T457,U457,V457)/14*100,0))</f>
        <v/>
      </c>
    </row>
    <row r="458">
      <c r="X458" s="8">
        <f>IF(B458="","",ROUND(COUNTA(B458,D458,E458,J458,K458,L458,M458,N458,O458,P458,Q458,T458,U458,V458)/14*100,0))</f>
        <v/>
      </c>
    </row>
    <row r="459">
      <c r="X459" s="8">
        <f>IF(B459="","",ROUND(COUNTA(B459,D459,E459,J459,K459,L459,M459,N459,O459,P459,Q459,T459,U459,V459)/14*100,0))</f>
        <v/>
      </c>
    </row>
    <row r="460">
      <c r="X460" s="8">
        <f>IF(B460="","",ROUND(COUNTA(B460,D460,E460,J460,K460,L460,M460,N460,O460,P460,Q460,T460,U460,V460)/14*100,0))</f>
        <v/>
      </c>
    </row>
    <row r="461">
      <c r="X461" s="8">
        <f>IF(B461="","",ROUND(COUNTA(B461,D461,E461,J461,K461,L461,M461,N461,O461,P461,Q461,T461,U461,V461)/14*100,0))</f>
        <v/>
      </c>
    </row>
    <row r="462">
      <c r="X462" s="8">
        <f>IF(B462="","",ROUND(COUNTA(B462,D462,E462,J462,K462,L462,M462,N462,O462,P462,Q462,T462,U462,V462)/14*100,0))</f>
        <v/>
      </c>
    </row>
    <row r="463">
      <c r="X463" s="8">
        <f>IF(B463="","",ROUND(COUNTA(B463,D463,E463,J463,K463,L463,M463,N463,O463,P463,Q463,T463,U463,V463)/14*100,0))</f>
        <v/>
      </c>
    </row>
    <row r="464">
      <c r="X464" s="8">
        <f>IF(B464="","",ROUND(COUNTA(B464,D464,E464,J464,K464,L464,M464,N464,O464,P464,Q464,T464,U464,V464)/14*100,0))</f>
        <v/>
      </c>
    </row>
    <row r="465">
      <c r="X465" s="8">
        <f>IF(B465="","",ROUND(COUNTA(B465,D465,E465,J465,K465,L465,M465,N465,O465,P465,Q465,T465,U465,V465)/14*100,0))</f>
        <v/>
      </c>
    </row>
    <row r="466">
      <c r="X466" s="8">
        <f>IF(B466="","",ROUND(COUNTA(B466,D466,E466,J466,K466,L466,M466,N466,O466,P466,Q466,T466,U466,V466)/14*100,0))</f>
        <v/>
      </c>
    </row>
    <row r="467">
      <c r="X467" s="8">
        <f>IF(B467="","",ROUND(COUNTA(B467,D467,E467,J467,K467,L467,M467,N467,O467,P467,Q467,T467,U467,V467)/14*100,0))</f>
        <v/>
      </c>
    </row>
    <row r="468">
      <c r="X468" s="8">
        <f>IF(B468="","",ROUND(COUNTA(B468,D468,E468,J468,K468,L468,M468,N468,O468,P468,Q468,T468,U468,V468)/14*100,0))</f>
        <v/>
      </c>
    </row>
    <row r="469">
      <c r="X469" s="8">
        <f>IF(B469="","",ROUND(COUNTA(B469,D469,E469,J469,K469,L469,M469,N469,O469,P469,Q469,T469,U469,V469)/14*100,0))</f>
        <v/>
      </c>
    </row>
    <row r="470">
      <c r="X470" s="8">
        <f>IF(B470="","",ROUND(COUNTA(B470,D470,E470,J470,K470,L470,M470,N470,O470,P470,Q470,T470,U470,V470)/14*100,0))</f>
        <v/>
      </c>
    </row>
    <row r="471">
      <c r="X471" s="8">
        <f>IF(B471="","",ROUND(COUNTA(B471,D471,E471,J471,K471,L471,M471,N471,O471,P471,Q471,T471,U471,V471)/14*100,0))</f>
        <v/>
      </c>
    </row>
    <row r="472">
      <c r="X472" s="8">
        <f>IF(B472="","",ROUND(COUNTA(B472,D472,E472,J472,K472,L472,M472,N472,O472,P472,Q472,T472,U472,V472)/14*100,0))</f>
        <v/>
      </c>
    </row>
    <row r="473">
      <c r="X473" s="8">
        <f>IF(B473="","",ROUND(COUNTA(B473,D473,E473,J473,K473,L473,M473,N473,O473,P473,Q473,T473,U473,V473)/14*100,0))</f>
        <v/>
      </c>
    </row>
    <row r="474">
      <c r="X474" s="8">
        <f>IF(B474="","",ROUND(COUNTA(B474,D474,E474,J474,K474,L474,M474,N474,O474,P474,Q474,T474,U474,V474)/14*100,0))</f>
        <v/>
      </c>
    </row>
    <row r="475">
      <c r="X475" s="8">
        <f>IF(B475="","",ROUND(COUNTA(B475,D475,E475,J475,K475,L475,M475,N475,O475,P475,Q475,T475,U475,V475)/14*100,0))</f>
        <v/>
      </c>
    </row>
    <row r="476">
      <c r="X476" s="8">
        <f>IF(B476="","",ROUND(COUNTA(B476,D476,E476,J476,K476,L476,M476,N476,O476,P476,Q476,T476,U476,V476)/14*100,0))</f>
        <v/>
      </c>
    </row>
    <row r="477">
      <c r="X477" s="8">
        <f>IF(B477="","",ROUND(COUNTA(B477,D477,E477,J477,K477,L477,M477,N477,O477,P477,Q477,T477,U477,V477)/14*100,0))</f>
        <v/>
      </c>
    </row>
    <row r="478">
      <c r="X478" s="8">
        <f>IF(B478="","",ROUND(COUNTA(B478,D478,E478,J478,K478,L478,M478,N478,O478,P478,Q478,T478,U478,V478)/14*100,0))</f>
        <v/>
      </c>
    </row>
    <row r="479">
      <c r="X479" s="8">
        <f>IF(B479="","",ROUND(COUNTA(B479,D479,E479,J479,K479,L479,M479,N479,O479,P479,Q479,T479,U479,V479)/14*100,0))</f>
        <v/>
      </c>
    </row>
    <row r="480">
      <c r="X480" s="8">
        <f>IF(B480="","",ROUND(COUNTA(B480,D480,E480,J480,K480,L480,M480,N480,O480,P480,Q480,T480,U480,V480)/14*100,0))</f>
        <v/>
      </c>
    </row>
    <row r="481">
      <c r="X481" s="8">
        <f>IF(B481="","",ROUND(COUNTA(B481,D481,E481,J481,K481,L481,M481,N481,O481,P481,Q481,T481,U481,V481)/14*100,0))</f>
        <v/>
      </c>
    </row>
    <row r="482">
      <c r="X482" s="8">
        <f>IF(B482="","",ROUND(COUNTA(B482,D482,E482,J482,K482,L482,M482,N482,O482,P482,Q482,T482,U482,V482)/14*100,0))</f>
        <v/>
      </c>
    </row>
    <row r="483">
      <c r="X483" s="8">
        <f>IF(B483="","",ROUND(COUNTA(B483,D483,E483,J483,K483,L483,M483,N483,O483,P483,Q483,T483,U483,V483)/14*100,0))</f>
        <v/>
      </c>
    </row>
    <row r="484">
      <c r="X484" s="8">
        <f>IF(B484="","",ROUND(COUNTA(B484,D484,E484,J484,K484,L484,M484,N484,O484,P484,Q484,T484,U484,V484)/14*100,0))</f>
        <v/>
      </c>
    </row>
    <row r="485">
      <c r="X485" s="8">
        <f>IF(B485="","",ROUND(COUNTA(B485,D485,E485,J485,K485,L485,M485,N485,O485,P485,Q485,T485,U485,V485)/14*100,0))</f>
        <v/>
      </c>
    </row>
    <row r="486">
      <c r="X486" s="8">
        <f>IF(B486="","",ROUND(COUNTA(B486,D486,E486,J486,K486,L486,M486,N486,O486,P486,Q486,T486,U486,V486)/14*100,0))</f>
        <v/>
      </c>
    </row>
    <row r="487">
      <c r="X487" s="8">
        <f>IF(B487="","",ROUND(COUNTA(B487,D487,E487,J487,K487,L487,M487,N487,O487,P487,Q487,T487,U487,V487)/14*100,0))</f>
        <v/>
      </c>
    </row>
    <row r="488">
      <c r="X488" s="8">
        <f>IF(B488="","",ROUND(COUNTA(B488,D488,E488,J488,K488,L488,M488,N488,O488,P488,Q488,T488,U488,V488)/14*100,0))</f>
        <v/>
      </c>
    </row>
    <row r="489">
      <c r="X489" s="8">
        <f>IF(B489="","",ROUND(COUNTA(B489,D489,E489,J489,K489,L489,M489,N489,O489,P489,Q489,T489,U489,V489)/14*100,0))</f>
        <v/>
      </c>
    </row>
    <row r="490">
      <c r="X490" s="8">
        <f>IF(B490="","",ROUND(COUNTA(B490,D490,E490,J490,K490,L490,M490,N490,O490,P490,Q490,T490,U490,V490)/14*100,0))</f>
        <v/>
      </c>
    </row>
    <row r="491">
      <c r="X491" s="8">
        <f>IF(B491="","",ROUND(COUNTA(B491,D491,E491,J491,K491,L491,M491,N491,O491,P491,Q491,T491,U491,V491)/14*100,0))</f>
        <v/>
      </c>
    </row>
    <row r="492">
      <c r="X492" s="8">
        <f>IF(B492="","",ROUND(COUNTA(B492,D492,E492,J492,K492,L492,M492,N492,O492,P492,Q492,T492,U492,V492)/14*100,0))</f>
        <v/>
      </c>
    </row>
    <row r="493">
      <c r="X493" s="8">
        <f>IF(B493="","",ROUND(COUNTA(B493,D493,E493,J493,K493,L493,M493,N493,O493,P493,Q493,T493,U493,V493)/14*100,0))</f>
        <v/>
      </c>
    </row>
    <row r="494">
      <c r="X494" s="8">
        <f>IF(B494="","",ROUND(COUNTA(B494,D494,E494,J494,K494,L494,M494,N494,O494,P494,Q494,T494,U494,V494)/14*100,0))</f>
        <v/>
      </c>
    </row>
    <row r="495">
      <c r="X495" s="8">
        <f>IF(B495="","",ROUND(COUNTA(B495,D495,E495,J495,K495,L495,M495,N495,O495,P495,Q495,T495,U495,V495)/14*100,0))</f>
        <v/>
      </c>
    </row>
    <row r="496">
      <c r="X496" s="8">
        <f>IF(B496="","",ROUND(COUNTA(B496,D496,E496,J496,K496,L496,M496,N496,O496,P496,Q496,T496,U496,V496)/14*100,0))</f>
        <v/>
      </c>
    </row>
    <row r="497">
      <c r="X497" s="8">
        <f>IF(B497="","",ROUND(COUNTA(B497,D497,E497,J497,K497,L497,M497,N497,O497,P497,Q497,T497,U497,V497)/14*100,0))</f>
        <v/>
      </c>
    </row>
    <row r="498">
      <c r="X498" s="8">
        <f>IF(B498="","",ROUND(COUNTA(B498,D498,E498,J498,K498,L498,M498,N498,O498,P498,Q498,T498,U498,V498)/14*100,0))</f>
        <v/>
      </c>
    </row>
    <row r="499">
      <c r="X499" s="8">
        <f>IF(B499="","",ROUND(COUNTA(B499,D499,E499,J499,K499,L499,M499,N499,O499,P499,Q499,T499,U499,V499)/14*100,0))</f>
        <v/>
      </c>
    </row>
    <row r="500">
      <c r="X500" s="8">
        <f>IF(B500="","",ROUND(COUNTA(B500,D500,E500,J500,K500,L500,M500,N500,O500,P500,Q500,T500,U500,V500)/14*100,0))</f>
        <v/>
      </c>
    </row>
  </sheetData>
  <mergeCells count="1">
    <mergeCell ref="Z1:AC1"/>
  </mergeCells>
  <conditionalFormatting sqref="X2:X500">
    <cfRule type="colorScale" priority="1">
      <colorScale>
        <cfvo type="num" val="0"/>
        <cfvo type="num" val="50"/>
        <cfvo type="num" val="100"/>
        <color rgb="00FEE2E2"/>
        <color rgb="00FEF3C7"/>
        <color rgb="00DCFCE7"/>
      </colorScale>
    </cfRule>
  </conditionalFormatting>
  <dataValidations count="4">
    <dataValidation sqref="D2:D500" showDropDown="0" showInputMessage="0" showErrorMessage="0" allowBlank="1" type="list">
      <formula1>_Lists!$A$2:$A$8</formula1>
    </dataValidation>
    <dataValidation sqref="O2:O500" showDropDown="0" showInputMessage="0" showErrorMessage="0" allowBlank="1" type="list">
      <formula1>_Lists!$D$2:$D$5</formula1>
    </dataValidation>
    <dataValidation sqref="T2:T500" showDropDown="0" showInputMessage="0" showErrorMessage="0" allowBlank="1" type="list">
      <formula1>_Lists!$B$2:$B$5</formula1>
    </dataValidation>
    <dataValidation sqref="V2:V500" showDropDown="0" showInputMessage="0" showErrorMessage="0" allowBlank="1" type="list">
      <formula1>_Lists!$C$2:$C$5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26" customWidth="1" min="5" max="5"/>
    <col width="26" customWidth="1" min="6" max="6"/>
    <col width="16" customWidth="1" min="7" max="7"/>
    <col width="26" customWidth="1" min="8" max="8"/>
    <col width="26" customWidth="1" min="9" max="9"/>
    <col width="26" customWidth="1" min="10" max="10"/>
    <col width="16" customWidth="1" min="11" max="11"/>
    <col width="16" customWidth="1" min="12" max="12"/>
    <col width="26" customWidth="1" min="13" max="13"/>
    <col width="26" customWidth="1" min="14" max="14"/>
    <col width="16" customWidth="1" min="15" max="15"/>
    <col width="16" customWidth="1" min="16" max="16"/>
    <col width="26" customWidth="1" min="17" max="17"/>
  </cols>
  <sheetData>
    <row r="1" ht="24" customHeight="1">
      <c r="A1" s="1" t="inlineStr">
        <is>
          <t>Location_ID</t>
        </is>
      </c>
      <c r="B1" s="1" t="inlineStr">
        <is>
          <t>Area_ID</t>
        </is>
      </c>
      <c r="C1" s="1" t="inlineStr">
        <is>
          <t>Block_Name</t>
        </is>
      </c>
      <c r="D1" s="1" t="inlineStr">
        <is>
          <t>Street_No</t>
        </is>
      </c>
      <c r="E1" s="1" t="inlineStr">
        <is>
          <t>Gali_Name</t>
        </is>
      </c>
      <c r="F1" s="1" t="inlineStr">
        <is>
          <t>Road_Name</t>
        </is>
      </c>
      <c r="G1" s="1" t="inlineStr">
        <is>
          <t>Street_Width_ft</t>
        </is>
      </c>
      <c r="H1" s="1" t="inlineStr">
        <is>
          <t>Surface_Type</t>
        </is>
      </c>
      <c r="I1" s="1" t="inlineStr">
        <is>
          <t>Access_Type</t>
        </is>
      </c>
      <c r="J1" s="1" t="inlineStr">
        <is>
          <t>Nearby_Landmark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Map_URL</t>
        </is>
      </c>
      <c r="N1" s="1" t="inlineStr">
        <is>
          <t>Source_URL</t>
        </is>
      </c>
      <c r="O1" s="1" t="inlineStr">
        <is>
          <t>Confidence</t>
        </is>
      </c>
      <c r="P1" s="1" t="inlineStr">
        <is>
          <t>Last_Verified</t>
        </is>
      </c>
      <c r="Q1" s="1" t="inlineStr">
        <is>
          <t>Notes</t>
        </is>
      </c>
      <c r="Z1" s="3" t="inlineStr">
        <is>
          <t>One row per verified street, gali, block or named road segment.</t>
        </is>
      </c>
    </row>
  </sheetData>
  <mergeCells count="1">
    <mergeCell ref="Z1:AC1"/>
  </mergeCells>
  <dataValidations count="3">
    <dataValidation sqref="H2:H500" showDropDown="0" showInputMessage="0" showErrorMessage="0" allowBlank="1" type="list">
      <formula1>_Lists!$L$2:$L$4</formula1>
    </dataValidation>
    <dataValidation sqref="I2:I500" showDropDown="0" showInputMessage="0" showErrorMessage="0" allowBlank="1" type="list">
      <formula1>_Lists!$M$2:$M$5</formula1>
    </dataValidation>
    <dataValidation sqref="O2:O500" showDropDown="0" showInputMessage="0" showErrorMessage="0" allowBlank="1" type="list">
      <formula1>_Lists!$B$2:$B$5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8" customWidth="1" min="5" max="5"/>
    <col width="28" customWidth="1" min="6" max="6"/>
    <col width="18" customWidth="1" min="7" max="7"/>
    <col width="28" customWidth="1" min="8" max="8"/>
    <col width="28" customWidth="1" min="9" max="9"/>
    <col width="18" customWidth="1" min="10" max="10"/>
    <col width="18" customWidth="1" min="11" max="11"/>
    <col width="28" customWidth="1" min="12" max="12"/>
  </cols>
  <sheetData>
    <row r="1" ht="24" customHeight="1">
      <c r="A1" s="1" t="inlineStr">
        <is>
          <t>Landmark_ID</t>
        </is>
      </c>
      <c r="B1" s="1" t="inlineStr">
        <is>
          <t>Area_ID</t>
        </is>
      </c>
      <c r="C1" s="1" t="inlineStr">
        <is>
          <t>Landmark_Name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Nearby_Street</t>
        </is>
      </c>
      <c r="G1" s="1" t="inlineStr">
        <is>
          <t>Approx_Distance_m</t>
        </is>
      </c>
      <c r="H1" s="1" t="inlineStr">
        <is>
          <t>Map_URL</t>
        </is>
      </c>
      <c r="I1" s="1" t="inlineStr">
        <is>
          <t>Source_URL</t>
        </is>
      </c>
      <c r="J1" s="1" t="inlineStr">
        <is>
          <t>Confidence</t>
        </is>
      </c>
      <c r="K1" s="1" t="inlineStr">
        <is>
          <t>Last_Verified</t>
        </is>
      </c>
      <c r="L1" s="1" t="inlineStr">
        <is>
          <t>Notes</t>
        </is>
      </c>
      <c r="Z1" s="3" t="inlineStr">
        <is>
          <t>Only add real landmarks relevant to property decisions.</t>
        </is>
      </c>
    </row>
  </sheetData>
  <mergeCells count="1">
    <mergeCell ref="Z1:AC1"/>
  </mergeCells>
  <dataValidations count="2">
    <dataValidation sqref="D2:D500" showDropDown="0" showInputMessage="0" showErrorMessage="0" allowBlank="1" type="list">
      <formula1>_Lists!$F$2:$F$11</formula1>
    </dataValidation>
    <dataValidation sqref="J2:J500" showDropDown="0" showInputMessage="0" showErrorMessage="0" allowBlank="1" type="list">
      <formula1>_Lists!$B$2:$B$5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30" customWidth="1" min="5" max="5"/>
    <col width="30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18" customWidth="1" min="12" max="12"/>
    <col width="18" customWidth="1" min="13" max="13"/>
    <col width="30" customWidth="1" min="14" max="14"/>
  </cols>
  <sheetData>
    <row r="1" ht="24" customHeight="1">
      <c r="A1" s="1" t="inlineStr">
        <is>
          <t>Record_ID</t>
        </is>
      </c>
      <c r="B1" s="1" t="inlineStr">
        <is>
          <t>Area_ID</t>
        </is>
      </c>
      <c r="C1" s="1" t="inlineStr">
        <is>
          <t>Authority</t>
        </is>
      </c>
      <c r="D1" s="1" t="inlineStr">
        <is>
          <t>Record_Type</t>
        </is>
      </c>
      <c r="E1" s="1" t="inlineStr">
        <is>
          <t>Office_Name</t>
        </is>
      </c>
      <c r="F1" s="1" t="inlineStr">
        <is>
          <t>Office_Address</t>
        </is>
      </c>
      <c r="G1" s="1" t="inlineStr">
        <is>
          <t>Official_URL</t>
        </is>
      </c>
      <c r="H1" s="1" t="inlineStr">
        <is>
          <t>Contact</t>
        </is>
      </c>
      <c r="I1" s="1" t="inlineStr">
        <is>
          <t>Verification_Process</t>
        </is>
      </c>
      <c r="J1" s="1" t="inlineStr">
        <is>
          <t>Required_Documents</t>
        </is>
      </c>
      <c r="K1" s="1" t="inlineStr">
        <is>
          <t>Source_URL</t>
        </is>
      </c>
      <c r="L1" s="1" t="inlineStr">
        <is>
          <t>Confidence</t>
        </is>
      </c>
      <c r="M1" s="1" t="inlineStr">
        <is>
          <t>Last_Verified</t>
        </is>
      </c>
      <c r="N1" s="1" t="inlineStr">
        <is>
          <t>Notes</t>
        </is>
      </c>
      <c r="Z1" s="3" t="inlineStr">
        <is>
          <t>Store official record/authority guidance and sources. Do not imply legal guarantees.</t>
        </is>
      </c>
    </row>
  </sheetData>
  <mergeCells count="1">
    <mergeCell ref="Z1:AC1"/>
  </mergeCells>
  <dataValidations count="2">
    <dataValidation sqref="D2:D500" showDropDown="0" showInputMessage="0" showErrorMessage="0" allowBlank="1" type="list">
      <formula1>_Lists!$N$2:$N$7</formula1>
    </dataValidation>
    <dataValidation sqref="L2:L500" showDropDown="0" showInputMessage="0" showErrorMessage="0" allowBlank="1" type="list">
      <formula1>_Lists!$B$2:$B$5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2" customWidth="1" min="13" max="13"/>
    <col width="18" customWidth="1" min="14" max="14"/>
    <col width="18" customWidth="1" min="15" max="15"/>
    <col width="32" customWidth="1" min="16" max="16"/>
  </cols>
  <sheetData>
    <row r="1" ht="24" customHeight="1">
      <c r="A1" s="1" t="inlineStr">
        <is>
          <t>Market_ID</t>
        </is>
      </c>
      <c r="B1" s="1" t="inlineStr">
        <is>
          <t>Area_ID</t>
        </is>
      </c>
      <c r="C1" s="1" t="inlineStr">
        <is>
          <t>Observation_Date</t>
        </is>
      </c>
      <c r="D1" s="1" t="inlineStr">
        <is>
          <t>Property_Type</t>
        </is>
      </c>
      <c r="E1" s="1" t="inlineStr">
        <is>
          <t>Size_Marla</t>
        </is>
      </c>
      <c r="F1" s="1" t="inlineStr">
        <is>
          <t>Demand_Level</t>
        </is>
      </c>
      <c r="G1" s="1" t="inlineStr">
        <is>
          <t>Supply_Level</t>
        </is>
      </c>
      <c r="H1" s="1" t="inlineStr">
        <is>
          <t>Typical_Time_To_Sell_Days</t>
        </is>
      </c>
      <c r="I1" s="1" t="inlineStr">
        <is>
          <t>Observed_Ask_Min_PKR</t>
        </is>
      </c>
      <c r="J1" s="1" t="inlineStr">
        <is>
          <t>Observed_Ask_Max_PKR</t>
        </is>
      </c>
      <c r="K1" s="1" t="inlineStr">
        <is>
          <t>Transactions_Observed</t>
        </is>
      </c>
      <c r="L1" s="1" t="inlineStr">
        <is>
          <t>Source_Type</t>
        </is>
      </c>
      <c r="M1" s="1" t="inlineStr">
        <is>
          <t>Source_URL</t>
        </is>
      </c>
      <c r="N1" s="1" t="inlineStr">
        <is>
          <t>Confidence</t>
        </is>
      </c>
      <c r="O1" s="1" t="inlineStr">
        <is>
          <t>Public_Display</t>
        </is>
      </c>
      <c r="P1" s="1" t="inlineStr">
        <is>
          <t>Notes</t>
        </is>
      </c>
      <c r="Z1" s="3" t="inlineStr">
        <is>
          <t>Internal market observations. Asking price ≠ sold price ≠ official valuation.</t>
        </is>
      </c>
    </row>
  </sheetData>
  <mergeCells count="1">
    <mergeCell ref="Z1:AC1"/>
  </mergeCells>
  <dataValidations count="6">
    <dataValidation sqref="D2:D500" showDropDown="0" showInputMessage="0" showErrorMessage="0" allowBlank="1" type="list">
      <formula1>_Lists!$E$2:$E$7</formula1>
    </dataValidation>
    <dataValidation sqref="F2:F500" showDropDown="0" showInputMessage="0" showErrorMessage="0" allowBlank="1" type="list">
      <formula1>_Lists!$H$2:$H$4</formula1>
    </dataValidation>
    <dataValidation sqref="G2:G500" showDropDown="0" showInputMessage="0" showErrorMessage="0" allowBlank="1" type="list">
      <formula1>_Lists!$I$2:$I$4</formula1>
    </dataValidation>
    <dataValidation sqref="L2:L500" showDropDown="0" showInputMessage="0" showErrorMessage="0" allowBlank="1" type="list">
      <formula1>_Lists!$G$2:$G$8</formula1>
    </dataValidation>
    <dataValidation sqref="N2:N500" showDropDown="0" showInputMessage="0" showErrorMessage="0" allowBlank="1" type="list">
      <formula1>_Lists!$B$2:$B$5</formula1>
    </dataValidation>
    <dataValidation sqref="O2:O500" showDropDown="0" showInputMessage="0" showErrorMessage="0" allowBlank="1" type="list">
      <formula1>_Lists!$K$2:$K$3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8" customWidth="1" min="14" max="14"/>
    <col width="28" customWidth="1" min="15" max="15"/>
    <col width="28" customWidth="1" min="16" max="16"/>
    <col width="28" customWidth="1" min="17" max="17"/>
    <col width="16" customWidth="1" min="18" max="18"/>
    <col width="16" customWidth="1" min="19" max="19"/>
    <col width="16" customWidth="1" min="20" max="20"/>
    <col width="16" customWidth="1" min="21" max="21"/>
    <col width="28" customWidth="1" min="22" max="22"/>
  </cols>
  <sheetData>
    <row r="1" ht="24" customHeight="1">
      <c r="A1" s="1" t="inlineStr">
        <is>
          <t>Property_ID</t>
        </is>
      </c>
      <c r="B1" s="1" t="inlineStr">
        <is>
          <t>Area_ID</t>
        </is>
      </c>
      <c r="C1" s="1" t="inlineStr">
        <is>
          <t>Street_or_Block</t>
        </is>
      </c>
      <c r="D1" s="1" t="inlineStr">
        <is>
          <t>Listing_Title</t>
        </is>
      </c>
      <c r="E1" s="1" t="inlineStr">
        <is>
          <t>Property_Type</t>
        </is>
      </c>
      <c r="F1" s="1" t="inlineStr">
        <is>
          <t>Size_Marla</t>
        </is>
      </c>
      <c r="G1" s="1" t="inlineStr">
        <is>
          <t>Bedrooms</t>
        </is>
      </c>
      <c r="H1" s="1" t="inlineStr">
        <is>
          <t>Bathrooms</t>
        </is>
      </c>
      <c r="I1" s="1" t="inlineStr">
        <is>
          <t>Floors</t>
        </is>
      </c>
      <c r="J1" s="1" t="inlineStr">
        <is>
          <t>Condition</t>
        </is>
      </c>
      <c r="K1" s="1" t="inlineStr">
        <is>
          <t>Corner</t>
        </is>
      </c>
      <c r="L1" s="1" t="inlineStr">
        <is>
          <t>Parking</t>
        </is>
      </c>
      <c r="M1" s="1" t="inlineStr">
        <is>
          <t>Road_Width_ft</t>
        </is>
      </c>
      <c r="N1" s="1" t="inlineStr">
        <is>
          <t>Utilities</t>
        </is>
      </c>
      <c r="O1" s="1" t="inlineStr">
        <is>
          <t>Image_Folder</t>
        </is>
      </c>
      <c r="P1" s="1" t="inlineStr">
        <is>
          <t>Video_URL</t>
        </is>
      </c>
      <c r="Q1" s="1" t="inlineStr">
        <is>
          <t>Map_URL</t>
        </is>
      </c>
      <c r="R1" s="1" t="inlineStr">
        <is>
          <t>Public_Price_Display</t>
        </is>
      </c>
      <c r="S1" s="1" t="inlineStr">
        <is>
          <t>Internal_Ask_Price_PKR</t>
        </is>
      </c>
      <c r="T1" s="1" t="inlineStr">
        <is>
          <t>Availability</t>
        </is>
      </c>
      <c r="U1" s="1" t="inlineStr">
        <is>
          <t>Last_Verified</t>
        </is>
      </c>
      <c r="V1" s="1" t="inlineStr">
        <is>
          <t>Notes</t>
        </is>
      </c>
      <c r="Z1" s="3" t="inlineStr">
        <is>
          <t>Use real property data/photos only. Public_Price_Display can remain No.</t>
        </is>
      </c>
    </row>
  </sheetData>
  <mergeCells count="1">
    <mergeCell ref="Z1:AC1"/>
  </mergeCells>
  <dataValidations count="4">
    <dataValidation sqref="E2:E500" showDropDown="0" showInputMessage="0" showErrorMessage="0" allowBlank="1" type="list">
      <formula1>_Lists!$E$2:$E$7</formula1>
    </dataValidation>
    <dataValidation sqref="K2:K500" showDropDown="0" showInputMessage="0" showErrorMessage="0" allowBlank="1" type="list">
      <formula1>_Lists!$K$2:$K$3</formula1>
    </dataValidation>
    <dataValidation sqref="R2:R500" showDropDown="0" showInputMessage="0" showErrorMessage="0" allowBlank="1" type="list">
      <formula1>_Lists!$K$2:$K$3</formula1>
    </dataValidation>
    <dataValidation sqref="T2:T500" showDropDown="0" showInputMessage="0" showErrorMessage="0" allowBlank="1" type="list">
      <formula1>_Lists!$J$2:$J$5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34" customWidth="1" min="4" max="4"/>
    <col width="34" customWidth="1" min="5" max="5"/>
    <col width="20" customWidth="1" min="6" max="6"/>
    <col width="20" customWidth="1" min="7" max="7"/>
    <col width="34" customWidth="1" min="8" max="8"/>
  </cols>
  <sheetData>
    <row r="1" ht="24" customHeight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URL</t>
        </is>
      </c>
      <c r="E1" s="1" t="inlineStr">
        <is>
          <t>Coverage</t>
        </is>
      </c>
      <c r="F1" s="1" t="inlineStr">
        <is>
          <t>Reliability</t>
        </is>
      </c>
      <c r="G1" s="1" t="inlineStr">
        <is>
          <t>Last_Checked</t>
        </is>
      </c>
      <c r="H1" s="1" t="inlineStr">
        <is>
          <t>Notes</t>
        </is>
      </c>
      <c r="Z1" s="3" t="inlineStr">
        <is>
          <t>Central registry of government, map, local and portal sources.</t>
        </is>
      </c>
    </row>
  </sheetData>
  <mergeCells count="1">
    <mergeCell ref="Z1:AC1"/>
  </mergeCells>
  <dataValidations count="1">
    <dataValidation sqref="C2:C500" showDropDown="0" showInputMessage="0" showErrorMessage="0" allowBlank="1" type="list">
      <formula1>_Lists!$G$2:$G$8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2026-09-11T14:33:13Z</dcterms:created>
  <dcterms:modified xsi:type="dcterms:W3CDTF">2026-09-11T14:33:13Z</dcterms:modified>
</cp:coreProperties>
</file>